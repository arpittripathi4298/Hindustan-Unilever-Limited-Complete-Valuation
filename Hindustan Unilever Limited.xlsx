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855141D0BD7C7E8/Desktop/Finance Analytics/"/>
    </mc:Choice>
  </mc:AlternateContent>
  <xr:revisionPtr revIDLastSave="3154" documentId="8_{55E5A010-C6E7-43B9-8866-A3ADBBEB7938}" xr6:coauthVersionLast="47" xr6:coauthVersionMax="47" xr10:uidLastSave="{66D7A74F-FAE0-4D5F-A65E-523DB8B6BAD1}"/>
  <bookViews>
    <workbookView xWindow="-98" yWindow="-98" windowWidth="21795" windowHeight="12345" tabRatio="894" firstSheet="1" activeTab="1" xr2:uid="{00000000-000D-0000-FFFF-FFFF00000000}"/>
  </bookViews>
  <sheets>
    <sheet name="Data Sheet" sheetId="6" r:id="rId1"/>
    <sheet name="Historical Financial Statement" sheetId="7" r:id="rId2"/>
    <sheet name="Calculation" sheetId="17" r:id="rId3"/>
    <sheet name="Ratio Analysis" sheetId="10" r:id="rId4"/>
    <sheet name="DCF Model" sheetId="12" r:id="rId5"/>
    <sheet name="BETA Calculation" sheetId="14" r:id="rId6"/>
    <sheet name="COMP Analysis" sheetId="13" r:id="rId7"/>
    <sheet name="DuPont Model" sheetId="11" r:id="rId8"/>
    <sheet name="Common Size Statement" sheetId="15" r:id="rId9"/>
    <sheet name="Manual Data" sheetId="9" r:id="rId10"/>
  </sheets>
  <definedNames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8" i="17" l="1"/>
  <c r="C88" i="17"/>
  <c r="D88" i="17"/>
  <c r="E88" i="17"/>
  <c r="F88" i="17"/>
  <c r="G88" i="17"/>
  <c r="H88" i="17"/>
  <c r="I88" i="17"/>
  <c r="J88" i="17"/>
  <c r="M95" i="7"/>
  <c r="L88" i="17" s="1"/>
  <c r="E87" i="17"/>
  <c r="F87" i="17"/>
  <c r="F89" i="17" s="1"/>
  <c r="G87" i="17"/>
  <c r="G89" i="17" s="1"/>
  <c r="H87" i="17"/>
  <c r="H89" i="17" s="1"/>
  <c r="I87" i="17"/>
  <c r="I89" i="17" s="1"/>
  <c r="J87" i="17"/>
  <c r="J89" i="17" s="1"/>
  <c r="K87" i="17"/>
  <c r="A88" i="17"/>
  <c r="A87" i="17"/>
  <c r="L95" i="7"/>
  <c r="M96" i="7"/>
  <c r="N96" i="7"/>
  <c r="O96" i="7"/>
  <c r="P96" i="7"/>
  <c r="Q96" i="7"/>
  <c r="M92" i="7"/>
  <c r="N92" i="7"/>
  <c r="O92" i="7"/>
  <c r="P92" i="7"/>
  <c r="Q92" i="7"/>
  <c r="L85" i="7"/>
  <c r="L88" i="7"/>
  <c r="L86" i="7"/>
  <c r="L87" i="7"/>
  <c r="P87" i="7"/>
  <c r="Q87" i="7"/>
  <c r="M87" i="7"/>
  <c r="N87" i="7"/>
  <c r="O87" i="7"/>
  <c r="G83" i="17"/>
  <c r="H83" i="17"/>
  <c r="I83" i="17"/>
  <c r="J83" i="17"/>
  <c r="K83" i="17"/>
  <c r="A83" i="17"/>
  <c r="B78" i="17"/>
  <c r="B79" i="17" s="1"/>
  <c r="C78" i="17"/>
  <c r="C79" i="17" s="1"/>
  <c r="D78" i="17"/>
  <c r="D79" i="17" s="1"/>
  <c r="E78" i="17"/>
  <c r="E79" i="17" s="1"/>
  <c r="F78" i="17"/>
  <c r="F79" i="17" s="1"/>
  <c r="G78" i="17"/>
  <c r="G79" i="17" s="1"/>
  <c r="H78" i="17"/>
  <c r="H79" i="17" s="1"/>
  <c r="I78" i="17"/>
  <c r="I79" i="17" s="1"/>
  <c r="J78" i="17"/>
  <c r="J79" i="17" s="1"/>
  <c r="K78" i="17"/>
  <c r="K79" i="17" s="1"/>
  <c r="A78" i="17"/>
  <c r="B74" i="17"/>
  <c r="B75" i="17" s="1"/>
  <c r="C74" i="17"/>
  <c r="C75" i="17" s="1"/>
  <c r="D74" i="17"/>
  <c r="D75" i="17" s="1"/>
  <c r="E74" i="17"/>
  <c r="E75" i="17" s="1"/>
  <c r="F74" i="17"/>
  <c r="F75" i="17" s="1"/>
  <c r="G74" i="17"/>
  <c r="G75" i="17" s="1"/>
  <c r="H74" i="17"/>
  <c r="H75" i="17" s="1"/>
  <c r="I74" i="17"/>
  <c r="I75" i="17" s="1"/>
  <c r="J74" i="17"/>
  <c r="J75" i="17" s="1"/>
  <c r="K74" i="17"/>
  <c r="K75" i="17" s="1"/>
  <c r="M74" i="7"/>
  <c r="N74" i="7"/>
  <c r="O74" i="7"/>
  <c r="P74" i="7"/>
  <c r="Q74" i="7"/>
  <c r="A71" i="17"/>
  <c r="A67" i="17"/>
  <c r="B58" i="17"/>
  <c r="C58" i="17"/>
  <c r="D58" i="17"/>
  <c r="E58" i="17"/>
  <c r="F58" i="17"/>
  <c r="G58" i="17"/>
  <c r="A47" i="17"/>
  <c r="A42" i="17"/>
  <c r="B42" i="17"/>
  <c r="C42" i="17"/>
  <c r="D42" i="17"/>
  <c r="E42" i="17"/>
  <c r="F42" i="17"/>
  <c r="G42" i="17"/>
  <c r="H42" i="17"/>
  <c r="I42" i="17"/>
  <c r="J42" i="17"/>
  <c r="K42" i="17"/>
  <c r="S28" i="17"/>
  <c r="S29" i="17" s="1"/>
  <c r="T28" i="17"/>
  <c r="T29" i="17" s="1"/>
  <c r="U28" i="17"/>
  <c r="U29" i="17" s="1"/>
  <c r="V28" i="17"/>
  <c r="V29" i="17" s="1"/>
  <c r="R28" i="17"/>
  <c r="R29" i="17"/>
  <c r="A37" i="17"/>
  <c r="A36" i="17"/>
  <c r="M32" i="9"/>
  <c r="L41" i="7"/>
  <c r="R27" i="17" s="1"/>
  <c r="B22" i="17"/>
  <c r="C22" i="17"/>
  <c r="D22" i="17"/>
  <c r="E22" i="17"/>
  <c r="F22" i="17"/>
  <c r="G22" i="17"/>
  <c r="H22" i="17"/>
  <c r="I22" i="17"/>
  <c r="J22" i="17"/>
  <c r="K22" i="17"/>
  <c r="C17" i="17"/>
  <c r="D17" i="17"/>
  <c r="E17" i="17"/>
  <c r="F17" i="17"/>
  <c r="G17" i="17"/>
  <c r="H17" i="17"/>
  <c r="I17" i="17"/>
  <c r="J17" i="17"/>
  <c r="K17" i="17"/>
  <c r="R22" i="17" s="1"/>
  <c r="A9" i="17"/>
  <c r="A5" i="17"/>
  <c r="G2" i="7"/>
  <c r="F3" i="17" s="1"/>
  <c r="C49" i="7"/>
  <c r="B17" i="17" s="1"/>
  <c r="M31" i="7"/>
  <c r="N31" i="7"/>
  <c r="O31" i="7"/>
  <c r="P31" i="7"/>
  <c r="Q31" i="7"/>
  <c r="L31" i="7"/>
  <c r="K41" i="17" s="1"/>
  <c r="D7" i="7"/>
  <c r="C5" i="17" s="1"/>
  <c r="E7" i="7"/>
  <c r="D5" i="17" s="1"/>
  <c r="F7" i="7"/>
  <c r="E5" i="17" s="1"/>
  <c r="G7" i="7"/>
  <c r="F5" i="17" s="1"/>
  <c r="H7" i="7"/>
  <c r="G5" i="17" s="1"/>
  <c r="I7" i="7"/>
  <c r="H5" i="17" s="1"/>
  <c r="J7" i="7"/>
  <c r="I5" i="17" s="1"/>
  <c r="K7" i="7"/>
  <c r="J5" i="17" s="1"/>
  <c r="L7" i="7"/>
  <c r="K5" i="17" s="1"/>
  <c r="C7" i="7"/>
  <c r="B5" i="17" s="1"/>
  <c r="B22" i="15"/>
  <c r="B1" i="15"/>
  <c r="D39" i="15"/>
  <c r="E39" i="15"/>
  <c r="F39" i="15"/>
  <c r="G39" i="15"/>
  <c r="H39" i="15"/>
  <c r="I39" i="15"/>
  <c r="J39" i="15"/>
  <c r="K39" i="15"/>
  <c r="L39" i="15"/>
  <c r="C39" i="15"/>
  <c r="C36" i="15"/>
  <c r="D36" i="15"/>
  <c r="E36" i="15"/>
  <c r="F36" i="15"/>
  <c r="G36" i="15"/>
  <c r="H36" i="15"/>
  <c r="I36" i="15"/>
  <c r="J36" i="15"/>
  <c r="K36" i="15"/>
  <c r="L36" i="15"/>
  <c r="C37" i="15"/>
  <c r="D37" i="15"/>
  <c r="E37" i="15"/>
  <c r="F37" i="15"/>
  <c r="G37" i="15"/>
  <c r="H37" i="15"/>
  <c r="I37" i="15"/>
  <c r="J37" i="15"/>
  <c r="K37" i="15"/>
  <c r="L37" i="15"/>
  <c r="D35" i="15"/>
  <c r="E35" i="15"/>
  <c r="F35" i="15"/>
  <c r="G35" i="15"/>
  <c r="H35" i="15"/>
  <c r="I35" i="15"/>
  <c r="J35" i="15"/>
  <c r="K35" i="15"/>
  <c r="L35" i="15"/>
  <c r="C35" i="15"/>
  <c r="D34" i="15"/>
  <c r="E34" i="15"/>
  <c r="F34" i="15"/>
  <c r="G34" i="15"/>
  <c r="H34" i="15"/>
  <c r="I34" i="15"/>
  <c r="J34" i="15"/>
  <c r="K34" i="15"/>
  <c r="L34" i="15"/>
  <c r="C34" i="15"/>
  <c r="C32" i="15"/>
  <c r="D32" i="15"/>
  <c r="E32" i="15"/>
  <c r="F32" i="15"/>
  <c r="G32" i="15"/>
  <c r="H32" i="15"/>
  <c r="I32" i="15"/>
  <c r="J32" i="15"/>
  <c r="K32" i="15"/>
  <c r="L32" i="15"/>
  <c r="C33" i="15"/>
  <c r="D33" i="15"/>
  <c r="E33" i="15"/>
  <c r="F33" i="15"/>
  <c r="G33" i="15"/>
  <c r="H33" i="15"/>
  <c r="I33" i="15"/>
  <c r="J33" i="15"/>
  <c r="K33" i="15"/>
  <c r="L33" i="15"/>
  <c r="D31" i="15"/>
  <c r="E31" i="15"/>
  <c r="F31" i="15"/>
  <c r="G31" i="15"/>
  <c r="H31" i="15"/>
  <c r="I31" i="15"/>
  <c r="J31" i="15"/>
  <c r="K31" i="15"/>
  <c r="L31" i="15"/>
  <c r="C31" i="15"/>
  <c r="D29" i="15"/>
  <c r="E29" i="15"/>
  <c r="F29" i="15"/>
  <c r="G29" i="15"/>
  <c r="H29" i="15"/>
  <c r="I29" i="15"/>
  <c r="J29" i="15"/>
  <c r="K29" i="15"/>
  <c r="L29" i="15"/>
  <c r="C29" i="15"/>
  <c r="D24" i="15"/>
  <c r="E24" i="15"/>
  <c r="F24" i="15"/>
  <c r="G24" i="15"/>
  <c r="H24" i="15"/>
  <c r="I24" i="15"/>
  <c r="J24" i="15"/>
  <c r="K24" i="15"/>
  <c r="D25" i="15"/>
  <c r="E25" i="15"/>
  <c r="F25" i="15"/>
  <c r="G25" i="15"/>
  <c r="H25" i="15"/>
  <c r="I25" i="15"/>
  <c r="J25" i="15"/>
  <c r="K25" i="15"/>
  <c r="D26" i="15"/>
  <c r="E26" i="15"/>
  <c r="F26" i="15"/>
  <c r="G26" i="15"/>
  <c r="H26" i="15"/>
  <c r="I26" i="15"/>
  <c r="J26" i="15"/>
  <c r="K26" i="15"/>
  <c r="D27" i="15"/>
  <c r="E27" i="15"/>
  <c r="F27" i="15"/>
  <c r="G27" i="15"/>
  <c r="H27" i="15"/>
  <c r="I27" i="15"/>
  <c r="J27" i="15"/>
  <c r="K27" i="15"/>
  <c r="C25" i="15"/>
  <c r="C26" i="15"/>
  <c r="C27" i="15"/>
  <c r="L25" i="15"/>
  <c r="L26" i="15"/>
  <c r="L27" i="15"/>
  <c r="L24" i="15"/>
  <c r="C24" i="15"/>
  <c r="B39" i="15"/>
  <c r="B29" i="15"/>
  <c r="B35" i="15"/>
  <c r="B36" i="15"/>
  <c r="B37" i="15"/>
  <c r="B25" i="15"/>
  <c r="B26" i="15"/>
  <c r="B27" i="15"/>
  <c r="B31" i="15"/>
  <c r="B32" i="15"/>
  <c r="B33" i="15"/>
  <c r="B34" i="15"/>
  <c r="B24" i="15"/>
  <c r="C74" i="6"/>
  <c r="D74" i="6"/>
  <c r="E74" i="6"/>
  <c r="F74" i="6"/>
  <c r="G74" i="6"/>
  <c r="H74" i="6"/>
  <c r="I74" i="6"/>
  <c r="J74" i="6"/>
  <c r="K74" i="6"/>
  <c r="B74" i="6"/>
  <c r="D3" i="15"/>
  <c r="E3" i="15"/>
  <c r="F3" i="15"/>
  <c r="G3" i="15"/>
  <c r="H3" i="15"/>
  <c r="I3" i="15"/>
  <c r="J3" i="15"/>
  <c r="K3" i="15"/>
  <c r="L3" i="15"/>
  <c r="D4" i="15"/>
  <c r="E4" i="15"/>
  <c r="F4" i="15"/>
  <c r="G4" i="15"/>
  <c r="H4" i="15"/>
  <c r="I4" i="15"/>
  <c r="J4" i="15"/>
  <c r="K4" i="15"/>
  <c r="L4" i="15"/>
  <c r="D5" i="15"/>
  <c r="E5" i="15"/>
  <c r="F5" i="15"/>
  <c r="G5" i="15"/>
  <c r="H5" i="15"/>
  <c r="I5" i="15"/>
  <c r="J5" i="15"/>
  <c r="K5" i="15"/>
  <c r="L5" i="15"/>
  <c r="D6" i="15"/>
  <c r="E6" i="15"/>
  <c r="F6" i="15"/>
  <c r="G6" i="15"/>
  <c r="H6" i="15"/>
  <c r="I6" i="15"/>
  <c r="J6" i="15"/>
  <c r="K6" i="15"/>
  <c r="L6" i="15"/>
  <c r="D7" i="15"/>
  <c r="E7" i="15"/>
  <c r="F7" i="15"/>
  <c r="G7" i="15"/>
  <c r="H7" i="15"/>
  <c r="I7" i="15"/>
  <c r="J7" i="15"/>
  <c r="K7" i="15"/>
  <c r="L7" i="15"/>
  <c r="D8" i="15"/>
  <c r="E8" i="15"/>
  <c r="F8" i="15"/>
  <c r="G8" i="15"/>
  <c r="H8" i="15"/>
  <c r="I8" i="15"/>
  <c r="J8" i="15"/>
  <c r="K8" i="15"/>
  <c r="L8" i="15"/>
  <c r="D9" i="15"/>
  <c r="E9" i="15"/>
  <c r="F9" i="15"/>
  <c r="G9" i="15"/>
  <c r="H9" i="15"/>
  <c r="I9" i="15"/>
  <c r="J9" i="15"/>
  <c r="K9" i="15"/>
  <c r="L9" i="15"/>
  <c r="D10" i="15"/>
  <c r="E10" i="15"/>
  <c r="F10" i="15"/>
  <c r="G10" i="15"/>
  <c r="H10" i="15"/>
  <c r="I10" i="15"/>
  <c r="J10" i="15"/>
  <c r="K10" i="15"/>
  <c r="L10" i="15"/>
  <c r="D11" i="15"/>
  <c r="E11" i="15"/>
  <c r="F11" i="15"/>
  <c r="G11" i="15"/>
  <c r="H11" i="15"/>
  <c r="I11" i="15"/>
  <c r="J11" i="15"/>
  <c r="K11" i="15"/>
  <c r="L11" i="15"/>
  <c r="D12" i="15"/>
  <c r="E12" i="15"/>
  <c r="F12" i="15"/>
  <c r="G12" i="15"/>
  <c r="H12" i="15"/>
  <c r="I12" i="15"/>
  <c r="J12" i="15"/>
  <c r="K12" i="15"/>
  <c r="L12" i="15"/>
  <c r="D13" i="15"/>
  <c r="E13" i="15"/>
  <c r="F13" i="15"/>
  <c r="G13" i="15"/>
  <c r="H13" i="15"/>
  <c r="I13" i="15"/>
  <c r="J13" i="15"/>
  <c r="K13" i="15"/>
  <c r="L13" i="15"/>
  <c r="D14" i="15"/>
  <c r="E14" i="15"/>
  <c r="F14" i="15"/>
  <c r="G14" i="15"/>
  <c r="H14" i="15"/>
  <c r="I14" i="15"/>
  <c r="J14" i="15"/>
  <c r="K14" i="15"/>
  <c r="L14" i="15"/>
  <c r="D15" i="15"/>
  <c r="E15" i="15"/>
  <c r="F15" i="15"/>
  <c r="G15" i="15"/>
  <c r="H15" i="15"/>
  <c r="I15" i="15"/>
  <c r="J15" i="15"/>
  <c r="K15" i="15"/>
  <c r="L15" i="15"/>
  <c r="D16" i="15"/>
  <c r="E16" i="15"/>
  <c r="F16" i="15"/>
  <c r="G16" i="15"/>
  <c r="H16" i="15"/>
  <c r="I16" i="15"/>
  <c r="J16" i="15"/>
  <c r="K16" i="15"/>
  <c r="L16" i="15"/>
  <c r="D17" i="15"/>
  <c r="E17" i="15"/>
  <c r="F17" i="15"/>
  <c r="G17" i="15"/>
  <c r="H17" i="15"/>
  <c r="I17" i="15"/>
  <c r="J17" i="15"/>
  <c r="K17" i="15"/>
  <c r="L17" i="15"/>
  <c r="D18" i="15"/>
  <c r="E18" i="15"/>
  <c r="F18" i="15"/>
  <c r="G18" i="15"/>
  <c r="H18" i="15"/>
  <c r="I18" i="15"/>
  <c r="J18" i="15"/>
  <c r="K18" i="15"/>
  <c r="L18" i="15"/>
  <c r="D19" i="15"/>
  <c r="E19" i="15"/>
  <c r="F19" i="15"/>
  <c r="G19" i="15"/>
  <c r="H19" i="15"/>
  <c r="I19" i="15"/>
  <c r="J19" i="15"/>
  <c r="K19" i="15"/>
  <c r="L19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3" i="15"/>
  <c r="B19" i="15"/>
  <c r="B15" i="15"/>
  <c r="B16" i="15"/>
  <c r="B17" i="15"/>
  <c r="B18" i="15"/>
  <c r="B4" i="15"/>
  <c r="B5" i="15"/>
  <c r="B6" i="15"/>
  <c r="B7" i="15"/>
  <c r="B8" i="15"/>
  <c r="B9" i="15"/>
  <c r="B10" i="15"/>
  <c r="B11" i="15"/>
  <c r="B12" i="15"/>
  <c r="B13" i="15"/>
  <c r="B14" i="15"/>
  <c r="B3" i="15"/>
  <c r="L2" i="15"/>
  <c r="K2" i="15"/>
  <c r="J2" i="15"/>
  <c r="I2" i="15"/>
  <c r="H2" i="15"/>
  <c r="G2" i="15"/>
  <c r="F2" i="15"/>
  <c r="E2" i="15"/>
  <c r="D2" i="15"/>
  <c r="C2" i="15"/>
  <c r="B2" i="15"/>
  <c r="C33" i="6"/>
  <c r="D33" i="6"/>
  <c r="E33" i="6"/>
  <c r="F33" i="6"/>
  <c r="G33" i="6"/>
  <c r="H33" i="6"/>
  <c r="I33" i="6"/>
  <c r="J33" i="6"/>
  <c r="K33" i="6"/>
  <c r="C32" i="6"/>
  <c r="D32" i="6"/>
  <c r="E32" i="6"/>
  <c r="F32" i="6"/>
  <c r="G32" i="6"/>
  <c r="H32" i="6"/>
  <c r="I32" i="6"/>
  <c r="J32" i="6"/>
  <c r="K32" i="6"/>
  <c r="B33" i="6"/>
  <c r="B32" i="6"/>
  <c r="B2" i="13"/>
  <c r="B1" i="14"/>
  <c r="C13" i="12"/>
  <c r="B25" i="7"/>
  <c r="B11" i="7"/>
  <c r="O23" i="13"/>
  <c r="P23" i="13"/>
  <c r="Q23" i="13"/>
  <c r="N23" i="13"/>
  <c r="B19" i="13"/>
  <c r="Q6" i="13"/>
  <c r="Q7" i="13"/>
  <c r="Q8" i="13"/>
  <c r="Q9" i="13"/>
  <c r="P6" i="13"/>
  <c r="P7" i="13"/>
  <c r="P8" i="13"/>
  <c r="P9" i="13"/>
  <c r="O6" i="13"/>
  <c r="O7" i="13"/>
  <c r="O8" i="13"/>
  <c r="O9" i="13"/>
  <c r="N6" i="13"/>
  <c r="N7" i="13"/>
  <c r="N8" i="13"/>
  <c r="N9" i="13"/>
  <c r="G6" i="13"/>
  <c r="G7" i="13"/>
  <c r="G8" i="13"/>
  <c r="G9" i="13"/>
  <c r="F9" i="13"/>
  <c r="F8" i="13"/>
  <c r="F7" i="13"/>
  <c r="F6" i="13"/>
  <c r="D6" i="13"/>
  <c r="D7" i="13"/>
  <c r="D8" i="13"/>
  <c r="D9" i="13"/>
  <c r="D5" i="13"/>
  <c r="B1" i="12"/>
  <c r="G22" i="12"/>
  <c r="D42" i="10"/>
  <c r="E42" i="10"/>
  <c r="F42" i="10"/>
  <c r="G42" i="10"/>
  <c r="H42" i="10"/>
  <c r="I42" i="10"/>
  <c r="J42" i="10"/>
  <c r="K42" i="10"/>
  <c r="L42" i="10"/>
  <c r="D41" i="10"/>
  <c r="E41" i="10"/>
  <c r="F41" i="10"/>
  <c r="G41" i="10"/>
  <c r="H41" i="10"/>
  <c r="I41" i="10"/>
  <c r="J41" i="10"/>
  <c r="K41" i="10"/>
  <c r="L41" i="10"/>
  <c r="C42" i="10"/>
  <c r="C41" i="10"/>
  <c r="L7" i="14"/>
  <c r="L6" i="14"/>
  <c r="L5" i="14"/>
  <c r="L10" i="14"/>
  <c r="B2" i="12"/>
  <c r="E2" i="12"/>
  <c r="C6" i="12"/>
  <c r="C5" i="12"/>
  <c r="C10" i="12"/>
  <c r="L8" i="14"/>
  <c r="C12" i="12"/>
  <c r="B2" i="14"/>
  <c r="H524" i="14"/>
  <c r="D524" i="14"/>
  <c r="H523" i="14"/>
  <c r="D523" i="14"/>
  <c r="H522" i="14"/>
  <c r="D522" i="14"/>
  <c r="H521" i="14"/>
  <c r="D521" i="14"/>
  <c r="H520" i="14"/>
  <c r="D520" i="14"/>
  <c r="H519" i="14"/>
  <c r="D519" i="14"/>
  <c r="H518" i="14"/>
  <c r="D518" i="14"/>
  <c r="H517" i="14"/>
  <c r="D517" i="14"/>
  <c r="H516" i="14"/>
  <c r="D516" i="14"/>
  <c r="H515" i="14"/>
  <c r="D515" i="14"/>
  <c r="H514" i="14"/>
  <c r="D514" i="14"/>
  <c r="H513" i="14"/>
  <c r="D513" i="14"/>
  <c r="H512" i="14"/>
  <c r="D512" i="14"/>
  <c r="H511" i="14"/>
  <c r="D511" i="14"/>
  <c r="H510" i="14"/>
  <c r="D510" i="14"/>
  <c r="H509" i="14"/>
  <c r="D509" i="14"/>
  <c r="H508" i="14"/>
  <c r="D508" i="14"/>
  <c r="H507" i="14"/>
  <c r="D507" i="14"/>
  <c r="H506" i="14"/>
  <c r="D506" i="14"/>
  <c r="H505" i="14"/>
  <c r="D505" i="14"/>
  <c r="H504" i="14"/>
  <c r="D504" i="14"/>
  <c r="H503" i="14"/>
  <c r="D503" i="14"/>
  <c r="H502" i="14"/>
  <c r="D502" i="14"/>
  <c r="H501" i="14"/>
  <c r="D501" i="14"/>
  <c r="H500" i="14"/>
  <c r="D500" i="14"/>
  <c r="H499" i="14"/>
  <c r="D499" i="14"/>
  <c r="H498" i="14"/>
  <c r="D498" i="14"/>
  <c r="H497" i="14"/>
  <c r="D497" i="14"/>
  <c r="H496" i="14"/>
  <c r="D496" i="14"/>
  <c r="H495" i="14"/>
  <c r="D495" i="14"/>
  <c r="H494" i="14"/>
  <c r="D494" i="14"/>
  <c r="H493" i="14"/>
  <c r="D493" i="14"/>
  <c r="H492" i="14"/>
  <c r="D492" i="14"/>
  <c r="H491" i="14"/>
  <c r="D491" i="14"/>
  <c r="H490" i="14"/>
  <c r="D490" i="14"/>
  <c r="H489" i="14"/>
  <c r="D489" i="14"/>
  <c r="H488" i="14"/>
  <c r="D488" i="14"/>
  <c r="H487" i="14"/>
  <c r="D487" i="14"/>
  <c r="H486" i="14"/>
  <c r="D486" i="14"/>
  <c r="H485" i="14"/>
  <c r="D485" i="14"/>
  <c r="H484" i="14"/>
  <c r="D484" i="14"/>
  <c r="H483" i="14"/>
  <c r="D483" i="14"/>
  <c r="H482" i="14"/>
  <c r="D482" i="14"/>
  <c r="H481" i="14"/>
  <c r="D481" i="14"/>
  <c r="H480" i="14"/>
  <c r="D480" i="14"/>
  <c r="H479" i="14"/>
  <c r="D479" i="14"/>
  <c r="H478" i="14"/>
  <c r="D478" i="14"/>
  <c r="H477" i="14"/>
  <c r="D477" i="14"/>
  <c r="H476" i="14"/>
  <c r="D476" i="14"/>
  <c r="H475" i="14"/>
  <c r="D475" i="14"/>
  <c r="H474" i="14"/>
  <c r="D474" i="14"/>
  <c r="H473" i="14"/>
  <c r="D473" i="14"/>
  <c r="H472" i="14"/>
  <c r="D472" i="14"/>
  <c r="H471" i="14"/>
  <c r="D471" i="14"/>
  <c r="H470" i="14"/>
  <c r="D470" i="14"/>
  <c r="H469" i="14"/>
  <c r="D469" i="14"/>
  <c r="H468" i="14"/>
  <c r="D468" i="14"/>
  <c r="H467" i="14"/>
  <c r="D467" i="14"/>
  <c r="H466" i="14"/>
  <c r="D466" i="14"/>
  <c r="H465" i="14"/>
  <c r="D465" i="14"/>
  <c r="H464" i="14"/>
  <c r="D464" i="14"/>
  <c r="H463" i="14"/>
  <c r="D463" i="14"/>
  <c r="H462" i="14"/>
  <c r="D462" i="14"/>
  <c r="H461" i="14"/>
  <c r="D461" i="14"/>
  <c r="H460" i="14"/>
  <c r="D460" i="14"/>
  <c r="H459" i="14"/>
  <c r="D459" i="14"/>
  <c r="H458" i="14"/>
  <c r="D458" i="14"/>
  <c r="H457" i="14"/>
  <c r="D457" i="14"/>
  <c r="H456" i="14"/>
  <c r="D456" i="14"/>
  <c r="H455" i="14"/>
  <c r="D455" i="14"/>
  <c r="H454" i="14"/>
  <c r="D454" i="14"/>
  <c r="H453" i="14"/>
  <c r="D453" i="14"/>
  <c r="H452" i="14"/>
  <c r="D452" i="14"/>
  <c r="H451" i="14"/>
  <c r="D451" i="14"/>
  <c r="H450" i="14"/>
  <c r="D450" i="14"/>
  <c r="H449" i="14"/>
  <c r="D449" i="14"/>
  <c r="H448" i="14"/>
  <c r="D448" i="14"/>
  <c r="H447" i="14"/>
  <c r="D447" i="14"/>
  <c r="H446" i="14"/>
  <c r="D446" i="14"/>
  <c r="H445" i="14"/>
  <c r="D445" i="14"/>
  <c r="H444" i="14"/>
  <c r="D444" i="14"/>
  <c r="H443" i="14"/>
  <c r="D443" i="14"/>
  <c r="H442" i="14"/>
  <c r="D442" i="14"/>
  <c r="H441" i="14"/>
  <c r="D441" i="14"/>
  <c r="H440" i="14"/>
  <c r="D440" i="14"/>
  <c r="H439" i="14"/>
  <c r="D439" i="14"/>
  <c r="H438" i="14"/>
  <c r="D438" i="14"/>
  <c r="H437" i="14"/>
  <c r="D437" i="14"/>
  <c r="H436" i="14"/>
  <c r="D436" i="14"/>
  <c r="H435" i="14"/>
  <c r="D435" i="14"/>
  <c r="H434" i="14"/>
  <c r="D434" i="14"/>
  <c r="H433" i="14"/>
  <c r="D433" i="14"/>
  <c r="H432" i="14"/>
  <c r="D432" i="14"/>
  <c r="H431" i="14"/>
  <c r="D431" i="14"/>
  <c r="H430" i="14"/>
  <c r="D430" i="14"/>
  <c r="H429" i="14"/>
  <c r="D429" i="14"/>
  <c r="H428" i="14"/>
  <c r="D428" i="14"/>
  <c r="H427" i="14"/>
  <c r="D427" i="14"/>
  <c r="H426" i="14"/>
  <c r="D426" i="14"/>
  <c r="H425" i="14"/>
  <c r="D425" i="14"/>
  <c r="H424" i="14"/>
  <c r="D424" i="14"/>
  <c r="H423" i="14"/>
  <c r="D423" i="14"/>
  <c r="H422" i="14"/>
  <c r="D422" i="14"/>
  <c r="H421" i="14"/>
  <c r="D421" i="14"/>
  <c r="H420" i="14"/>
  <c r="D420" i="14"/>
  <c r="H419" i="14"/>
  <c r="D419" i="14"/>
  <c r="H418" i="14"/>
  <c r="D418" i="14"/>
  <c r="H417" i="14"/>
  <c r="D417" i="14"/>
  <c r="H416" i="14"/>
  <c r="D416" i="14"/>
  <c r="H415" i="14"/>
  <c r="D415" i="14"/>
  <c r="H414" i="14"/>
  <c r="D414" i="14"/>
  <c r="H413" i="14"/>
  <c r="D413" i="14"/>
  <c r="H412" i="14"/>
  <c r="D412" i="14"/>
  <c r="H411" i="14"/>
  <c r="D411" i="14"/>
  <c r="H410" i="14"/>
  <c r="D410" i="14"/>
  <c r="H409" i="14"/>
  <c r="D409" i="14"/>
  <c r="H408" i="14"/>
  <c r="D408" i="14"/>
  <c r="H407" i="14"/>
  <c r="D407" i="14"/>
  <c r="H406" i="14"/>
  <c r="D406" i="14"/>
  <c r="H405" i="14"/>
  <c r="D405" i="14"/>
  <c r="H404" i="14"/>
  <c r="D404" i="14"/>
  <c r="H403" i="14"/>
  <c r="D403" i="14"/>
  <c r="H402" i="14"/>
  <c r="D402" i="14"/>
  <c r="H401" i="14"/>
  <c r="D401" i="14"/>
  <c r="H400" i="14"/>
  <c r="D400" i="14"/>
  <c r="H399" i="14"/>
  <c r="D399" i="14"/>
  <c r="H398" i="14"/>
  <c r="D398" i="14"/>
  <c r="H397" i="14"/>
  <c r="D397" i="14"/>
  <c r="H396" i="14"/>
  <c r="D396" i="14"/>
  <c r="H395" i="14"/>
  <c r="D395" i="14"/>
  <c r="H394" i="14"/>
  <c r="D394" i="14"/>
  <c r="H393" i="14"/>
  <c r="D393" i="14"/>
  <c r="H392" i="14"/>
  <c r="D392" i="14"/>
  <c r="H391" i="14"/>
  <c r="D391" i="14"/>
  <c r="H390" i="14"/>
  <c r="D390" i="14"/>
  <c r="H389" i="14"/>
  <c r="D389" i="14"/>
  <c r="H388" i="14"/>
  <c r="D388" i="14"/>
  <c r="H387" i="14"/>
  <c r="D387" i="14"/>
  <c r="H386" i="14"/>
  <c r="D386" i="14"/>
  <c r="H385" i="14"/>
  <c r="D385" i="14"/>
  <c r="H384" i="14"/>
  <c r="D384" i="14"/>
  <c r="H383" i="14"/>
  <c r="D383" i="14"/>
  <c r="H382" i="14"/>
  <c r="D382" i="14"/>
  <c r="H381" i="14"/>
  <c r="D381" i="14"/>
  <c r="H380" i="14"/>
  <c r="D380" i="14"/>
  <c r="H379" i="14"/>
  <c r="D379" i="14"/>
  <c r="H378" i="14"/>
  <c r="D378" i="14"/>
  <c r="H377" i="14"/>
  <c r="D377" i="14"/>
  <c r="H376" i="14"/>
  <c r="D376" i="14"/>
  <c r="H375" i="14"/>
  <c r="D375" i="14"/>
  <c r="H374" i="14"/>
  <c r="D374" i="14"/>
  <c r="H373" i="14"/>
  <c r="D373" i="14"/>
  <c r="H372" i="14"/>
  <c r="D372" i="14"/>
  <c r="H371" i="14"/>
  <c r="D371" i="14"/>
  <c r="H370" i="14"/>
  <c r="D370" i="14"/>
  <c r="H369" i="14"/>
  <c r="D369" i="14"/>
  <c r="H368" i="14"/>
  <c r="D368" i="14"/>
  <c r="H367" i="14"/>
  <c r="D367" i="14"/>
  <c r="H366" i="14"/>
  <c r="D366" i="14"/>
  <c r="H365" i="14"/>
  <c r="D365" i="14"/>
  <c r="H364" i="14"/>
  <c r="D364" i="14"/>
  <c r="H363" i="14"/>
  <c r="D363" i="14"/>
  <c r="H362" i="14"/>
  <c r="D362" i="14"/>
  <c r="H361" i="14"/>
  <c r="D361" i="14"/>
  <c r="H360" i="14"/>
  <c r="D360" i="14"/>
  <c r="H359" i="14"/>
  <c r="D359" i="14"/>
  <c r="H358" i="14"/>
  <c r="D358" i="14"/>
  <c r="H357" i="14"/>
  <c r="D357" i="14"/>
  <c r="H356" i="14"/>
  <c r="D356" i="14"/>
  <c r="H355" i="14"/>
  <c r="D355" i="14"/>
  <c r="H354" i="14"/>
  <c r="D354" i="14"/>
  <c r="H353" i="14"/>
  <c r="D353" i="14"/>
  <c r="H352" i="14"/>
  <c r="D352" i="14"/>
  <c r="H351" i="14"/>
  <c r="D351" i="14"/>
  <c r="H350" i="14"/>
  <c r="D350" i="14"/>
  <c r="H349" i="14"/>
  <c r="D349" i="14"/>
  <c r="H348" i="14"/>
  <c r="D348" i="14"/>
  <c r="H347" i="14"/>
  <c r="D347" i="14"/>
  <c r="H346" i="14"/>
  <c r="D346" i="14"/>
  <c r="H345" i="14"/>
  <c r="D345" i="14"/>
  <c r="H344" i="14"/>
  <c r="D344" i="14"/>
  <c r="H343" i="14"/>
  <c r="D343" i="14"/>
  <c r="H342" i="14"/>
  <c r="D342" i="14"/>
  <c r="H341" i="14"/>
  <c r="D341" i="14"/>
  <c r="H340" i="14"/>
  <c r="D340" i="14"/>
  <c r="H339" i="14"/>
  <c r="D339" i="14"/>
  <c r="H338" i="14"/>
  <c r="D338" i="14"/>
  <c r="H337" i="14"/>
  <c r="D337" i="14"/>
  <c r="H336" i="14"/>
  <c r="D336" i="14"/>
  <c r="H335" i="14"/>
  <c r="D335" i="14"/>
  <c r="H334" i="14"/>
  <c r="D334" i="14"/>
  <c r="H333" i="14"/>
  <c r="D333" i="14"/>
  <c r="H332" i="14"/>
  <c r="D332" i="14"/>
  <c r="H331" i="14"/>
  <c r="D331" i="14"/>
  <c r="H330" i="14"/>
  <c r="D330" i="14"/>
  <c r="H329" i="14"/>
  <c r="D329" i="14"/>
  <c r="H328" i="14"/>
  <c r="D328" i="14"/>
  <c r="H327" i="14"/>
  <c r="D327" i="14"/>
  <c r="H326" i="14"/>
  <c r="D326" i="14"/>
  <c r="H325" i="14"/>
  <c r="D325" i="14"/>
  <c r="H324" i="14"/>
  <c r="D324" i="14"/>
  <c r="H323" i="14"/>
  <c r="D323" i="14"/>
  <c r="H322" i="14"/>
  <c r="D322" i="14"/>
  <c r="H321" i="14"/>
  <c r="D321" i="14"/>
  <c r="H320" i="14"/>
  <c r="D320" i="14"/>
  <c r="H319" i="14"/>
  <c r="D319" i="14"/>
  <c r="H318" i="14"/>
  <c r="D318" i="14"/>
  <c r="H317" i="14"/>
  <c r="D317" i="14"/>
  <c r="H316" i="14"/>
  <c r="D316" i="14"/>
  <c r="H315" i="14"/>
  <c r="D315" i="14"/>
  <c r="H314" i="14"/>
  <c r="D314" i="14"/>
  <c r="H313" i="14"/>
  <c r="D313" i="14"/>
  <c r="H312" i="14"/>
  <c r="D312" i="14"/>
  <c r="H311" i="14"/>
  <c r="D311" i="14"/>
  <c r="H310" i="14"/>
  <c r="D310" i="14"/>
  <c r="H309" i="14"/>
  <c r="D309" i="14"/>
  <c r="H308" i="14"/>
  <c r="D308" i="14"/>
  <c r="H307" i="14"/>
  <c r="D307" i="14"/>
  <c r="H306" i="14"/>
  <c r="D306" i="14"/>
  <c r="H305" i="14"/>
  <c r="D305" i="14"/>
  <c r="H304" i="14"/>
  <c r="D304" i="14"/>
  <c r="H303" i="14"/>
  <c r="D303" i="14"/>
  <c r="H302" i="14"/>
  <c r="D302" i="14"/>
  <c r="H301" i="14"/>
  <c r="D301" i="14"/>
  <c r="H300" i="14"/>
  <c r="D300" i="14"/>
  <c r="H299" i="14"/>
  <c r="D299" i="14"/>
  <c r="H298" i="14"/>
  <c r="D298" i="14"/>
  <c r="H297" i="14"/>
  <c r="D297" i="14"/>
  <c r="H296" i="14"/>
  <c r="D296" i="14"/>
  <c r="H295" i="14"/>
  <c r="D295" i="14"/>
  <c r="H294" i="14"/>
  <c r="D294" i="14"/>
  <c r="H293" i="14"/>
  <c r="D293" i="14"/>
  <c r="H292" i="14"/>
  <c r="D292" i="14"/>
  <c r="H291" i="14"/>
  <c r="D291" i="14"/>
  <c r="H290" i="14"/>
  <c r="D290" i="14"/>
  <c r="H289" i="14"/>
  <c r="D289" i="14"/>
  <c r="H288" i="14"/>
  <c r="D288" i="14"/>
  <c r="H287" i="14"/>
  <c r="D287" i="14"/>
  <c r="H286" i="14"/>
  <c r="D286" i="14"/>
  <c r="H285" i="14"/>
  <c r="D285" i="14"/>
  <c r="H284" i="14"/>
  <c r="D284" i="14"/>
  <c r="H283" i="14"/>
  <c r="D283" i="14"/>
  <c r="H282" i="14"/>
  <c r="D282" i="14"/>
  <c r="H281" i="14"/>
  <c r="D281" i="14"/>
  <c r="H280" i="14"/>
  <c r="D280" i="14"/>
  <c r="H279" i="14"/>
  <c r="D279" i="14"/>
  <c r="H278" i="14"/>
  <c r="D278" i="14"/>
  <c r="H277" i="14"/>
  <c r="D277" i="14"/>
  <c r="H276" i="14"/>
  <c r="D276" i="14"/>
  <c r="H275" i="14"/>
  <c r="D275" i="14"/>
  <c r="H274" i="14"/>
  <c r="D274" i="14"/>
  <c r="H273" i="14"/>
  <c r="D273" i="14"/>
  <c r="H272" i="14"/>
  <c r="D272" i="14"/>
  <c r="H271" i="14"/>
  <c r="D271" i="14"/>
  <c r="H270" i="14"/>
  <c r="D270" i="14"/>
  <c r="H269" i="14"/>
  <c r="D269" i="14"/>
  <c r="H268" i="14"/>
  <c r="D268" i="14"/>
  <c r="H267" i="14"/>
  <c r="D267" i="14"/>
  <c r="H266" i="14"/>
  <c r="D266" i="14"/>
  <c r="H265" i="14"/>
  <c r="D265" i="14"/>
  <c r="H264" i="14"/>
  <c r="D264" i="14"/>
  <c r="H263" i="14"/>
  <c r="D263" i="14"/>
  <c r="H262" i="14"/>
  <c r="D262" i="14"/>
  <c r="H261" i="14"/>
  <c r="D261" i="14"/>
  <c r="H260" i="14"/>
  <c r="D260" i="14"/>
  <c r="H259" i="14"/>
  <c r="D259" i="14"/>
  <c r="H258" i="14"/>
  <c r="D258" i="14"/>
  <c r="H257" i="14"/>
  <c r="D257" i="14"/>
  <c r="H256" i="14"/>
  <c r="D256" i="14"/>
  <c r="H255" i="14"/>
  <c r="D255" i="14"/>
  <c r="H254" i="14"/>
  <c r="D254" i="14"/>
  <c r="H253" i="14"/>
  <c r="D253" i="14"/>
  <c r="H252" i="14"/>
  <c r="D252" i="14"/>
  <c r="H251" i="14"/>
  <c r="D251" i="14"/>
  <c r="H250" i="14"/>
  <c r="D250" i="14"/>
  <c r="H249" i="14"/>
  <c r="D249" i="14"/>
  <c r="H248" i="14"/>
  <c r="D248" i="14"/>
  <c r="H247" i="14"/>
  <c r="D247" i="14"/>
  <c r="H246" i="14"/>
  <c r="D246" i="14"/>
  <c r="H245" i="14"/>
  <c r="D245" i="14"/>
  <c r="H244" i="14"/>
  <c r="D244" i="14"/>
  <c r="H243" i="14"/>
  <c r="D243" i="14"/>
  <c r="H242" i="14"/>
  <c r="D242" i="14"/>
  <c r="H241" i="14"/>
  <c r="D241" i="14"/>
  <c r="H240" i="14"/>
  <c r="D240" i="14"/>
  <c r="H239" i="14"/>
  <c r="D239" i="14"/>
  <c r="H238" i="14"/>
  <c r="D238" i="14"/>
  <c r="H237" i="14"/>
  <c r="D237" i="14"/>
  <c r="H236" i="14"/>
  <c r="D236" i="14"/>
  <c r="H235" i="14"/>
  <c r="D235" i="14"/>
  <c r="H234" i="14"/>
  <c r="D234" i="14"/>
  <c r="H233" i="14"/>
  <c r="D233" i="14"/>
  <c r="H232" i="14"/>
  <c r="D232" i="14"/>
  <c r="H231" i="14"/>
  <c r="D231" i="14"/>
  <c r="H230" i="14"/>
  <c r="D230" i="14"/>
  <c r="H229" i="14"/>
  <c r="D229" i="14"/>
  <c r="H228" i="14"/>
  <c r="D228" i="14"/>
  <c r="H227" i="14"/>
  <c r="D227" i="14"/>
  <c r="H226" i="14"/>
  <c r="D226" i="14"/>
  <c r="H225" i="14"/>
  <c r="D225" i="14"/>
  <c r="H224" i="14"/>
  <c r="D224" i="14"/>
  <c r="H223" i="14"/>
  <c r="D223" i="14"/>
  <c r="H222" i="14"/>
  <c r="D222" i="14"/>
  <c r="H221" i="14"/>
  <c r="D221" i="14"/>
  <c r="H220" i="14"/>
  <c r="D220" i="14"/>
  <c r="H219" i="14"/>
  <c r="D219" i="14"/>
  <c r="H218" i="14"/>
  <c r="D218" i="14"/>
  <c r="H217" i="14"/>
  <c r="D217" i="14"/>
  <c r="H216" i="14"/>
  <c r="D216" i="14"/>
  <c r="H215" i="14"/>
  <c r="D215" i="14"/>
  <c r="H214" i="14"/>
  <c r="D214" i="14"/>
  <c r="H213" i="14"/>
  <c r="D213" i="14"/>
  <c r="H212" i="14"/>
  <c r="D212" i="14"/>
  <c r="H211" i="14"/>
  <c r="D211" i="14"/>
  <c r="H210" i="14"/>
  <c r="D210" i="14"/>
  <c r="H209" i="14"/>
  <c r="D209" i="14"/>
  <c r="H208" i="14"/>
  <c r="D208" i="14"/>
  <c r="H207" i="14"/>
  <c r="D207" i="14"/>
  <c r="H206" i="14"/>
  <c r="D206" i="14"/>
  <c r="H205" i="14"/>
  <c r="D205" i="14"/>
  <c r="H204" i="14"/>
  <c r="D204" i="14"/>
  <c r="H203" i="14"/>
  <c r="D203" i="14"/>
  <c r="H202" i="14"/>
  <c r="D202" i="14"/>
  <c r="H201" i="14"/>
  <c r="D201" i="14"/>
  <c r="H200" i="14"/>
  <c r="D200" i="14"/>
  <c r="H199" i="14"/>
  <c r="D199" i="14"/>
  <c r="H198" i="14"/>
  <c r="D198" i="14"/>
  <c r="H197" i="14"/>
  <c r="D197" i="14"/>
  <c r="H196" i="14"/>
  <c r="D196" i="14"/>
  <c r="H195" i="14"/>
  <c r="D195" i="14"/>
  <c r="H194" i="14"/>
  <c r="D194" i="14"/>
  <c r="H193" i="14"/>
  <c r="D193" i="14"/>
  <c r="H192" i="14"/>
  <c r="D192" i="14"/>
  <c r="H191" i="14"/>
  <c r="D191" i="14"/>
  <c r="H190" i="14"/>
  <c r="D190" i="14"/>
  <c r="H189" i="14"/>
  <c r="D189" i="14"/>
  <c r="H188" i="14"/>
  <c r="D188" i="14"/>
  <c r="H187" i="14"/>
  <c r="D187" i="14"/>
  <c r="H186" i="14"/>
  <c r="D186" i="14"/>
  <c r="H185" i="14"/>
  <c r="D185" i="14"/>
  <c r="H184" i="14"/>
  <c r="D184" i="14"/>
  <c r="H183" i="14"/>
  <c r="D183" i="14"/>
  <c r="H182" i="14"/>
  <c r="D182" i="14"/>
  <c r="H181" i="14"/>
  <c r="D181" i="14"/>
  <c r="H180" i="14"/>
  <c r="D180" i="14"/>
  <c r="H179" i="14"/>
  <c r="D179" i="14"/>
  <c r="H178" i="14"/>
  <c r="D178" i="14"/>
  <c r="H177" i="14"/>
  <c r="D177" i="14"/>
  <c r="H176" i="14"/>
  <c r="D176" i="14"/>
  <c r="H175" i="14"/>
  <c r="D175" i="14"/>
  <c r="H174" i="14"/>
  <c r="D174" i="14"/>
  <c r="H173" i="14"/>
  <c r="D173" i="14"/>
  <c r="H172" i="14"/>
  <c r="D172" i="14"/>
  <c r="H171" i="14"/>
  <c r="D171" i="14"/>
  <c r="H170" i="14"/>
  <c r="D170" i="14"/>
  <c r="H169" i="14"/>
  <c r="D169" i="14"/>
  <c r="H168" i="14"/>
  <c r="D168" i="14"/>
  <c r="H167" i="14"/>
  <c r="D167" i="14"/>
  <c r="H166" i="14"/>
  <c r="D166" i="14"/>
  <c r="H165" i="14"/>
  <c r="D165" i="14"/>
  <c r="H164" i="14"/>
  <c r="D164" i="14"/>
  <c r="H163" i="14"/>
  <c r="D163" i="14"/>
  <c r="H162" i="14"/>
  <c r="D162" i="14"/>
  <c r="H161" i="14"/>
  <c r="D161" i="14"/>
  <c r="H160" i="14"/>
  <c r="D160" i="14"/>
  <c r="H159" i="14"/>
  <c r="D159" i="14"/>
  <c r="H158" i="14"/>
  <c r="D158" i="14"/>
  <c r="H157" i="14"/>
  <c r="D157" i="14"/>
  <c r="H156" i="14"/>
  <c r="D156" i="14"/>
  <c r="H155" i="14"/>
  <c r="D155" i="14"/>
  <c r="H154" i="14"/>
  <c r="D154" i="14"/>
  <c r="H153" i="14"/>
  <c r="D153" i="14"/>
  <c r="H152" i="14"/>
  <c r="D152" i="14"/>
  <c r="H151" i="14"/>
  <c r="D151" i="14"/>
  <c r="H150" i="14"/>
  <c r="D150" i="14"/>
  <c r="H149" i="14"/>
  <c r="D149" i="14"/>
  <c r="H148" i="14"/>
  <c r="D148" i="14"/>
  <c r="H147" i="14"/>
  <c r="D147" i="14"/>
  <c r="H146" i="14"/>
  <c r="D146" i="14"/>
  <c r="H145" i="14"/>
  <c r="D145" i="14"/>
  <c r="H144" i="14"/>
  <c r="D144" i="14"/>
  <c r="H143" i="14"/>
  <c r="D143" i="14"/>
  <c r="H142" i="14"/>
  <c r="D142" i="14"/>
  <c r="H141" i="14"/>
  <c r="D141" i="14"/>
  <c r="H140" i="14"/>
  <c r="D140" i="14"/>
  <c r="H139" i="14"/>
  <c r="D139" i="14"/>
  <c r="H138" i="14"/>
  <c r="D138" i="14"/>
  <c r="H137" i="14"/>
  <c r="D137" i="14"/>
  <c r="H136" i="14"/>
  <c r="D136" i="14"/>
  <c r="H135" i="14"/>
  <c r="D135" i="14"/>
  <c r="H134" i="14"/>
  <c r="D134" i="14"/>
  <c r="H133" i="14"/>
  <c r="D133" i="14"/>
  <c r="H132" i="14"/>
  <c r="D132" i="14"/>
  <c r="H131" i="14"/>
  <c r="D131" i="14"/>
  <c r="H130" i="14"/>
  <c r="D130" i="14"/>
  <c r="H129" i="14"/>
  <c r="D129" i="14"/>
  <c r="H128" i="14"/>
  <c r="D128" i="14"/>
  <c r="H127" i="14"/>
  <c r="D127" i="14"/>
  <c r="H126" i="14"/>
  <c r="D126" i="14"/>
  <c r="H125" i="14"/>
  <c r="D125" i="14"/>
  <c r="H124" i="14"/>
  <c r="D124" i="14"/>
  <c r="H123" i="14"/>
  <c r="D123" i="14"/>
  <c r="H122" i="14"/>
  <c r="D122" i="14"/>
  <c r="H121" i="14"/>
  <c r="D121" i="14"/>
  <c r="H120" i="14"/>
  <c r="D120" i="14"/>
  <c r="H119" i="14"/>
  <c r="D119" i="14"/>
  <c r="H118" i="14"/>
  <c r="D118" i="14"/>
  <c r="H117" i="14"/>
  <c r="D117" i="14"/>
  <c r="H116" i="14"/>
  <c r="D116" i="14"/>
  <c r="H115" i="14"/>
  <c r="D115" i="14"/>
  <c r="H114" i="14"/>
  <c r="D114" i="14"/>
  <c r="H113" i="14"/>
  <c r="D113" i="14"/>
  <c r="H112" i="14"/>
  <c r="D112" i="14"/>
  <c r="H111" i="14"/>
  <c r="D111" i="14"/>
  <c r="H110" i="14"/>
  <c r="D110" i="14"/>
  <c r="H109" i="14"/>
  <c r="D109" i="14"/>
  <c r="H108" i="14"/>
  <c r="D108" i="14"/>
  <c r="H107" i="14"/>
  <c r="D107" i="14"/>
  <c r="H106" i="14"/>
  <c r="D106" i="14"/>
  <c r="H105" i="14"/>
  <c r="D105" i="14"/>
  <c r="H104" i="14"/>
  <c r="D104" i="14"/>
  <c r="H103" i="14"/>
  <c r="D103" i="14"/>
  <c r="H102" i="14"/>
  <c r="D102" i="14"/>
  <c r="H101" i="14"/>
  <c r="D101" i="14"/>
  <c r="H100" i="14"/>
  <c r="D100" i="14"/>
  <c r="H99" i="14"/>
  <c r="D99" i="14"/>
  <c r="H98" i="14"/>
  <c r="D98" i="14"/>
  <c r="H97" i="14"/>
  <c r="D97" i="14"/>
  <c r="H96" i="14"/>
  <c r="D96" i="14"/>
  <c r="H95" i="14"/>
  <c r="D95" i="14"/>
  <c r="H94" i="14"/>
  <c r="D94" i="14"/>
  <c r="H93" i="14"/>
  <c r="D93" i="14"/>
  <c r="H92" i="14"/>
  <c r="D92" i="14"/>
  <c r="H91" i="14"/>
  <c r="D91" i="14"/>
  <c r="H90" i="14"/>
  <c r="D90" i="14"/>
  <c r="H89" i="14"/>
  <c r="D89" i="14"/>
  <c r="H88" i="14"/>
  <c r="D88" i="14"/>
  <c r="H87" i="14"/>
  <c r="D87" i="14"/>
  <c r="H86" i="14"/>
  <c r="D86" i="14"/>
  <c r="H85" i="14"/>
  <c r="D85" i="14"/>
  <c r="H84" i="14"/>
  <c r="D84" i="14"/>
  <c r="H83" i="14"/>
  <c r="D83" i="14"/>
  <c r="H82" i="14"/>
  <c r="D82" i="14"/>
  <c r="H81" i="14"/>
  <c r="D81" i="14"/>
  <c r="H80" i="14"/>
  <c r="D80" i="14"/>
  <c r="H79" i="14"/>
  <c r="D79" i="14"/>
  <c r="H78" i="14"/>
  <c r="D78" i="14"/>
  <c r="H77" i="14"/>
  <c r="D77" i="14"/>
  <c r="H76" i="14"/>
  <c r="D76" i="14"/>
  <c r="H75" i="14"/>
  <c r="D75" i="14"/>
  <c r="H74" i="14"/>
  <c r="D74" i="14"/>
  <c r="H73" i="14"/>
  <c r="D73" i="14"/>
  <c r="H72" i="14"/>
  <c r="D72" i="14"/>
  <c r="H71" i="14"/>
  <c r="D71" i="14"/>
  <c r="H70" i="14"/>
  <c r="D70" i="14"/>
  <c r="H69" i="14"/>
  <c r="D69" i="14"/>
  <c r="H68" i="14"/>
  <c r="D68" i="14"/>
  <c r="H67" i="14"/>
  <c r="D67" i="14"/>
  <c r="H66" i="14"/>
  <c r="D66" i="14"/>
  <c r="H65" i="14"/>
  <c r="D65" i="14"/>
  <c r="H64" i="14"/>
  <c r="D64" i="14"/>
  <c r="H63" i="14"/>
  <c r="D63" i="14"/>
  <c r="H62" i="14"/>
  <c r="D62" i="14"/>
  <c r="H61" i="14"/>
  <c r="D61" i="14"/>
  <c r="H60" i="14"/>
  <c r="D60" i="14"/>
  <c r="H59" i="14"/>
  <c r="D59" i="14"/>
  <c r="H58" i="14"/>
  <c r="D58" i="14"/>
  <c r="H57" i="14"/>
  <c r="D57" i="14"/>
  <c r="H56" i="14"/>
  <c r="D56" i="14"/>
  <c r="H55" i="14"/>
  <c r="D55" i="14"/>
  <c r="H54" i="14"/>
  <c r="D54" i="14"/>
  <c r="H53" i="14"/>
  <c r="D53" i="14"/>
  <c r="H52" i="14"/>
  <c r="D52" i="14"/>
  <c r="H51" i="14"/>
  <c r="D51" i="14"/>
  <c r="H50" i="14"/>
  <c r="D50" i="14"/>
  <c r="H49" i="14"/>
  <c r="D49" i="14"/>
  <c r="H48" i="14"/>
  <c r="D48" i="14"/>
  <c r="H47" i="14"/>
  <c r="D47" i="14"/>
  <c r="H46" i="14"/>
  <c r="D46" i="14"/>
  <c r="H45" i="14"/>
  <c r="D45" i="14"/>
  <c r="H44" i="14"/>
  <c r="D44" i="14"/>
  <c r="H43" i="14"/>
  <c r="D43" i="14"/>
  <c r="H42" i="14"/>
  <c r="D42" i="14"/>
  <c r="H41" i="14"/>
  <c r="D41" i="14"/>
  <c r="H40" i="14"/>
  <c r="D40" i="14"/>
  <c r="H39" i="14"/>
  <c r="D39" i="14"/>
  <c r="H38" i="14"/>
  <c r="D38" i="14"/>
  <c r="H37" i="14"/>
  <c r="D37" i="14"/>
  <c r="H36" i="14"/>
  <c r="D36" i="14"/>
  <c r="H35" i="14"/>
  <c r="D35" i="14"/>
  <c r="H34" i="14"/>
  <c r="D34" i="14"/>
  <c r="H33" i="14"/>
  <c r="D33" i="14"/>
  <c r="H32" i="14"/>
  <c r="D32" i="14"/>
  <c r="H31" i="14"/>
  <c r="D31" i="14"/>
  <c r="H30" i="14"/>
  <c r="D30" i="14"/>
  <c r="H29" i="14"/>
  <c r="D29" i="14"/>
  <c r="H28" i="14"/>
  <c r="D28" i="14"/>
  <c r="H27" i="14"/>
  <c r="D27" i="14"/>
  <c r="H26" i="14"/>
  <c r="D26" i="14"/>
  <c r="H25" i="14"/>
  <c r="D25" i="14"/>
  <c r="H24" i="14"/>
  <c r="D24" i="14"/>
  <c r="H23" i="14"/>
  <c r="D23" i="14"/>
  <c r="H22" i="14"/>
  <c r="D22" i="14"/>
  <c r="H21" i="14"/>
  <c r="D21" i="14"/>
  <c r="H20" i="14"/>
  <c r="D20" i="14"/>
  <c r="H19" i="14"/>
  <c r="D19" i="14"/>
  <c r="H18" i="14"/>
  <c r="D18" i="14"/>
  <c r="H17" i="14"/>
  <c r="D17" i="14"/>
  <c r="H16" i="14"/>
  <c r="D16" i="14"/>
  <c r="H15" i="14"/>
  <c r="D15" i="14"/>
  <c r="H14" i="14"/>
  <c r="D14" i="14"/>
  <c r="H13" i="14"/>
  <c r="D13" i="14"/>
  <c r="H12" i="14"/>
  <c r="D12" i="14"/>
  <c r="H11" i="14"/>
  <c r="D11" i="14"/>
  <c r="H10" i="14"/>
  <c r="D10" i="14"/>
  <c r="H9" i="14"/>
  <c r="D9" i="14"/>
  <c r="H8" i="14"/>
  <c r="D8" i="14"/>
  <c r="H7" i="14"/>
  <c r="D7" i="14"/>
  <c r="H6" i="14"/>
  <c r="D6" i="14"/>
  <c r="H5" i="14"/>
  <c r="D5" i="14"/>
  <c r="H4" i="14"/>
  <c r="D4" i="14"/>
  <c r="B2" i="7"/>
  <c r="B1" i="10"/>
  <c r="B1" i="7"/>
  <c r="B1" i="11"/>
  <c r="B64" i="7"/>
  <c r="B97" i="7"/>
  <c r="B99" i="7"/>
  <c r="B93" i="7"/>
  <c r="C93" i="7"/>
  <c r="D93" i="7"/>
  <c r="E93" i="7"/>
  <c r="F93" i="7"/>
  <c r="G93" i="7"/>
  <c r="H93" i="7"/>
  <c r="I93" i="7"/>
  <c r="J93" i="7"/>
  <c r="K93" i="7"/>
  <c r="L93" i="7"/>
  <c r="B94" i="7"/>
  <c r="C94" i="7"/>
  <c r="D94" i="7"/>
  <c r="E94" i="7"/>
  <c r="F94" i="7"/>
  <c r="G94" i="7"/>
  <c r="H94" i="7"/>
  <c r="I94" i="7"/>
  <c r="J94" i="7"/>
  <c r="K94" i="7"/>
  <c r="L94" i="7"/>
  <c r="B95" i="7"/>
  <c r="C95" i="7"/>
  <c r="D95" i="7"/>
  <c r="E95" i="7"/>
  <c r="F95" i="7"/>
  <c r="G95" i="7"/>
  <c r="H95" i="7"/>
  <c r="I95" i="7"/>
  <c r="J95" i="7"/>
  <c r="K95" i="7"/>
  <c r="B96" i="7"/>
  <c r="C96" i="7"/>
  <c r="D96" i="7"/>
  <c r="E96" i="7"/>
  <c r="F96" i="7"/>
  <c r="G96" i="7"/>
  <c r="H96" i="7"/>
  <c r="I96" i="7"/>
  <c r="J96" i="7"/>
  <c r="K96" i="7"/>
  <c r="L96" i="7"/>
  <c r="B89" i="7"/>
  <c r="B91" i="7"/>
  <c r="B92" i="7"/>
  <c r="C92" i="7"/>
  <c r="D92" i="7"/>
  <c r="E92" i="7"/>
  <c r="F92" i="7"/>
  <c r="G92" i="7"/>
  <c r="H92" i="7"/>
  <c r="I92" i="7"/>
  <c r="J92" i="7"/>
  <c r="K92" i="7"/>
  <c r="L92" i="7"/>
  <c r="B85" i="7"/>
  <c r="C85" i="7"/>
  <c r="D85" i="7"/>
  <c r="E85" i="7"/>
  <c r="F85" i="7"/>
  <c r="G85" i="7"/>
  <c r="H85" i="7"/>
  <c r="I85" i="7"/>
  <c r="J85" i="7"/>
  <c r="K85" i="7"/>
  <c r="B86" i="7"/>
  <c r="C86" i="7"/>
  <c r="D86" i="7"/>
  <c r="E86" i="7"/>
  <c r="F86" i="7"/>
  <c r="G86" i="7"/>
  <c r="H86" i="7"/>
  <c r="I86" i="7"/>
  <c r="J86" i="7"/>
  <c r="K86" i="7"/>
  <c r="B87" i="7"/>
  <c r="C87" i="7"/>
  <c r="D87" i="7"/>
  <c r="E87" i="7"/>
  <c r="F87" i="7"/>
  <c r="G87" i="7"/>
  <c r="H87" i="7"/>
  <c r="I87" i="7"/>
  <c r="J87" i="7"/>
  <c r="K87" i="7"/>
  <c r="B88" i="7"/>
  <c r="C88" i="7"/>
  <c r="D88" i="7"/>
  <c r="E88" i="7"/>
  <c r="F88" i="7"/>
  <c r="G88" i="7"/>
  <c r="H88" i="7"/>
  <c r="I88" i="7"/>
  <c r="J88" i="7"/>
  <c r="K88" i="7"/>
  <c r="B65" i="7"/>
  <c r="B66" i="7"/>
  <c r="C66" i="7"/>
  <c r="D66" i="7"/>
  <c r="E66" i="7"/>
  <c r="F66" i="7"/>
  <c r="G66" i="7"/>
  <c r="H66" i="7"/>
  <c r="I66" i="7"/>
  <c r="J66" i="7"/>
  <c r="K66" i="7"/>
  <c r="L66" i="7"/>
  <c r="B67" i="7"/>
  <c r="C67" i="7"/>
  <c r="D67" i="7"/>
  <c r="E67" i="7"/>
  <c r="F67" i="7"/>
  <c r="G67" i="7"/>
  <c r="H67" i="7"/>
  <c r="I67" i="7"/>
  <c r="J67" i="7"/>
  <c r="K67" i="7"/>
  <c r="L67" i="7"/>
  <c r="B68" i="7"/>
  <c r="C68" i="7"/>
  <c r="D68" i="7"/>
  <c r="E68" i="7"/>
  <c r="F68" i="7"/>
  <c r="G68" i="7"/>
  <c r="H68" i="7"/>
  <c r="I68" i="7"/>
  <c r="J68" i="7"/>
  <c r="K68" i="7"/>
  <c r="L68" i="7"/>
  <c r="B69" i="7"/>
  <c r="C69" i="7"/>
  <c r="D69" i="7"/>
  <c r="E69" i="7"/>
  <c r="F69" i="7"/>
  <c r="G69" i="7"/>
  <c r="H69" i="7"/>
  <c r="I69" i="7"/>
  <c r="J69" i="7"/>
  <c r="K69" i="7"/>
  <c r="L69" i="7"/>
  <c r="B70" i="7"/>
  <c r="C70" i="7"/>
  <c r="D70" i="7"/>
  <c r="E70" i="7"/>
  <c r="F70" i="7"/>
  <c r="G70" i="7"/>
  <c r="H70" i="7"/>
  <c r="I70" i="7"/>
  <c r="J70" i="7"/>
  <c r="K70" i="7"/>
  <c r="L70" i="7"/>
  <c r="B71" i="7"/>
  <c r="C71" i="7"/>
  <c r="D71" i="7"/>
  <c r="E71" i="7"/>
  <c r="F71" i="7"/>
  <c r="G71" i="7"/>
  <c r="H71" i="7"/>
  <c r="I71" i="7"/>
  <c r="J71" i="7"/>
  <c r="K71" i="7"/>
  <c r="L71" i="7"/>
  <c r="B72" i="7"/>
  <c r="B73" i="7"/>
  <c r="C73" i="7"/>
  <c r="D73" i="7"/>
  <c r="E73" i="7"/>
  <c r="F73" i="7"/>
  <c r="G73" i="7"/>
  <c r="H73" i="7"/>
  <c r="I73" i="7"/>
  <c r="J73" i="7"/>
  <c r="K73" i="7"/>
  <c r="L73" i="7"/>
  <c r="B74" i="7"/>
  <c r="C74" i="7"/>
  <c r="D74" i="7"/>
  <c r="E74" i="7"/>
  <c r="F74" i="7"/>
  <c r="G74" i="7"/>
  <c r="H74" i="7"/>
  <c r="I74" i="7"/>
  <c r="J74" i="7"/>
  <c r="K74" i="7"/>
  <c r="L74" i="7"/>
  <c r="B75" i="7"/>
  <c r="B77" i="7"/>
  <c r="B78" i="7"/>
  <c r="C78" i="7"/>
  <c r="F7" i="12" s="1"/>
  <c r="D78" i="7"/>
  <c r="G7" i="12" s="1"/>
  <c r="E78" i="7"/>
  <c r="H7" i="12" s="1"/>
  <c r="F78" i="7"/>
  <c r="I7" i="12" s="1"/>
  <c r="G78" i="7"/>
  <c r="J7" i="12" s="1"/>
  <c r="H78" i="7"/>
  <c r="K7" i="12" s="1"/>
  <c r="I78" i="7"/>
  <c r="L7" i="12" s="1"/>
  <c r="J78" i="7"/>
  <c r="M7" i="12" s="1"/>
  <c r="K78" i="7"/>
  <c r="N7" i="12" s="1"/>
  <c r="L78" i="7"/>
  <c r="B79" i="7"/>
  <c r="C79" i="7"/>
  <c r="D79" i="7"/>
  <c r="E79" i="7"/>
  <c r="F79" i="7"/>
  <c r="G79" i="7"/>
  <c r="H79" i="7"/>
  <c r="I79" i="7"/>
  <c r="J79" i="7"/>
  <c r="K79" i="7"/>
  <c r="L79" i="7"/>
  <c r="B80" i="7"/>
  <c r="C80" i="7"/>
  <c r="D80" i="7"/>
  <c r="E80" i="7"/>
  <c r="F80" i="7"/>
  <c r="G80" i="7"/>
  <c r="H80" i="7"/>
  <c r="I80" i="7"/>
  <c r="J80" i="7"/>
  <c r="K80" i="7"/>
  <c r="L80" i="7"/>
  <c r="B81" i="7"/>
  <c r="C81" i="7"/>
  <c r="D81" i="7"/>
  <c r="E81" i="7"/>
  <c r="F81" i="7"/>
  <c r="G81" i="7"/>
  <c r="H81" i="7"/>
  <c r="I81" i="7"/>
  <c r="J81" i="7"/>
  <c r="K81" i="7"/>
  <c r="L81" i="7"/>
  <c r="B82" i="7"/>
  <c r="C82" i="7"/>
  <c r="D82" i="7"/>
  <c r="E82" i="7"/>
  <c r="F82" i="7"/>
  <c r="G82" i="7"/>
  <c r="H82" i="7"/>
  <c r="I82" i="7"/>
  <c r="J82" i="7"/>
  <c r="K82" i="7"/>
  <c r="L82" i="7"/>
  <c r="B83" i="7"/>
  <c r="C83" i="7"/>
  <c r="B83" i="17" s="1"/>
  <c r="D83" i="7"/>
  <c r="C83" i="17" s="1"/>
  <c r="E83" i="7"/>
  <c r="D83" i="17" s="1"/>
  <c r="F83" i="7"/>
  <c r="E83" i="17" s="1"/>
  <c r="G83" i="7"/>
  <c r="F83" i="17" s="1"/>
  <c r="H83" i="7"/>
  <c r="I83" i="7"/>
  <c r="J83" i="7"/>
  <c r="K83" i="7"/>
  <c r="L83" i="7"/>
  <c r="B84" i="7"/>
  <c r="C84" i="7"/>
  <c r="D84" i="7"/>
  <c r="E84" i="7"/>
  <c r="F84" i="7"/>
  <c r="G84" i="7"/>
  <c r="H84" i="7"/>
  <c r="I84" i="7"/>
  <c r="J84" i="7"/>
  <c r="K84" i="7"/>
  <c r="L84" i="7"/>
  <c r="B57" i="7"/>
  <c r="A70" i="17" s="1"/>
  <c r="C57" i="7"/>
  <c r="B70" i="17" s="1"/>
  <c r="D57" i="7"/>
  <c r="C70" i="17" s="1"/>
  <c r="E57" i="7"/>
  <c r="D70" i="17" s="1"/>
  <c r="F57" i="7"/>
  <c r="E70" i="17" s="1"/>
  <c r="G57" i="7"/>
  <c r="F70" i="17" s="1"/>
  <c r="H57" i="7"/>
  <c r="G70" i="17" s="1"/>
  <c r="I57" i="7"/>
  <c r="H70" i="17" s="1"/>
  <c r="J57" i="7"/>
  <c r="I70" i="17" s="1"/>
  <c r="K57" i="7"/>
  <c r="J70" i="17" s="1"/>
  <c r="L57" i="7"/>
  <c r="K70" i="17" s="1"/>
  <c r="B58" i="7"/>
  <c r="C58" i="7"/>
  <c r="D58" i="7"/>
  <c r="E58" i="7"/>
  <c r="F58" i="7"/>
  <c r="G58" i="7"/>
  <c r="H58" i="7"/>
  <c r="I58" i="7"/>
  <c r="J58" i="7"/>
  <c r="K58" i="7"/>
  <c r="L58" i="7"/>
  <c r="C56" i="7"/>
  <c r="B66" i="17" s="1"/>
  <c r="D56" i="7"/>
  <c r="C66" i="17" s="1"/>
  <c r="E56" i="7"/>
  <c r="D66" i="17" s="1"/>
  <c r="F56" i="7"/>
  <c r="E66" i="17" s="1"/>
  <c r="G56" i="7"/>
  <c r="F66" i="17" s="1"/>
  <c r="H56" i="7"/>
  <c r="G66" i="17" s="1"/>
  <c r="I56" i="7"/>
  <c r="H66" i="17" s="1"/>
  <c r="J56" i="7"/>
  <c r="I66" i="17" s="1"/>
  <c r="K56" i="7"/>
  <c r="J66" i="17" s="1"/>
  <c r="L56" i="7"/>
  <c r="K66" i="17" s="1"/>
  <c r="C51" i="7"/>
  <c r="D51" i="7"/>
  <c r="E51" i="7"/>
  <c r="F51" i="7"/>
  <c r="G51" i="7"/>
  <c r="H51" i="7"/>
  <c r="I51" i="7"/>
  <c r="J51" i="7"/>
  <c r="K51" i="7"/>
  <c r="L51" i="7"/>
  <c r="C50" i="7"/>
  <c r="D50" i="7"/>
  <c r="E50" i="7"/>
  <c r="F50" i="7"/>
  <c r="G50" i="7"/>
  <c r="H50" i="7"/>
  <c r="I50" i="7"/>
  <c r="H58" i="17" s="1"/>
  <c r="J50" i="7"/>
  <c r="I58" i="17" s="1"/>
  <c r="K50" i="7"/>
  <c r="J58" i="17" s="1"/>
  <c r="L50" i="7"/>
  <c r="K58" i="17" s="1"/>
  <c r="D49" i="7"/>
  <c r="E49" i="7"/>
  <c r="F49" i="7"/>
  <c r="G49" i="7"/>
  <c r="H49" i="7"/>
  <c r="I49" i="7"/>
  <c r="J49" i="7"/>
  <c r="K49" i="7"/>
  <c r="L49" i="7"/>
  <c r="C37" i="7"/>
  <c r="B50" i="17" s="1"/>
  <c r="D37" i="7"/>
  <c r="C50" i="17" s="1"/>
  <c r="E37" i="7"/>
  <c r="D50" i="17" s="1"/>
  <c r="F37" i="7"/>
  <c r="E50" i="17" s="1"/>
  <c r="G37" i="7"/>
  <c r="F50" i="17" s="1"/>
  <c r="H37" i="7"/>
  <c r="G50" i="17" s="1"/>
  <c r="I37" i="7"/>
  <c r="H50" i="17" s="1"/>
  <c r="J37" i="7"/>
  <c r="I50" i="17" s="1"/>
  <c r="K37" i="7"/>
  <c r="J50" i="17" s="1"/>
  <c r="L37" i="7"/>
  <c r="K50" i="17" s="1"/>
  <c r="C36" i="7"/>
  <c r="B46" i="17" s="1"/>
  <c r="D36" i="7"/>
  <c r="C46" i="17" s="1"/>
  <c r="E36" i="7"/>
  <c r="D46" i="17" s="1"/>
  <c r="F36" i="7"/>
  <c r="E46" i="17" s="1"/>
  <c r="G36" i="7"/>
  <c r="F46" i="17" s="1"/>
  <c r="H36" i="7"/>
  <c r="G46" i="17" s="1"/>
  <c r="I36" i="7"/>
  <c r="H46" i="17" s="1"/>
  <c r="J36" i="7"/>
  <c r="I46" i="17" s="1"/>
  <c r="K36" i="7"/>
  <c r="J46" i="17" s="1"/>
  <c r="L36" i="7"/>
  <c r="K46" i="17" s="1"/>
  <c r="B37" i="7"/>
  <c r="A50" i="17" s="1"/>
  <c r="B36" i="7"/>
  <c r="A46" i="17" s="1"/>
  <c r="C9" i="9"/>
  <c r="D9" i="9"/>
  <c r="D72" i="7" s="1"/>
  <c r="E9" i="9"/>
  <c r="E72" i="7" s="1"/>
  <c r="F9" i="9"/>
  <c r="F72" i="7" s="1"/>
  <c r="G9" i="9"/>
  <c r="G72" i="7" s="1"/>
  <c r="H9" i="9"/>
  <c r="H72" i="7" s="1"/>
  <c r="I9" i="9"/>
  <c r="I72" i="7" s="1"/>
  <c r="J9" i="9"/>
  <c r="J72" i="7" s="1"/>
  <c r="K9" i="9"/>
  <c r="L9" i="9"/>
  <c r="L72" i="7" s="1"/>
  <c r="D12" i="9"/>
  <c r="D75" i="7" s="1"/>
  <c r="E12" i="9"/>
  <c r="E75" i="7" s="1"/>
  <c r="F12" i="9"/>
  <c r="F75" i="7" s="1"/>
  <c r="G12" i="9"/>
  <c r="G75" i="7" s="1"/>
  <c r="H12" i="9"/>
  <c r="H75" i="7" s="1"/>
  <c r="I12" i="9"/>
  <c r="I75" i="7" s="1"/>
  <c r="J12" i="9"/>
  <c r="J75" i="7" s="1"/>
  <c r="L12" i="9"/>
  <c r="L75" i="7" s="1"/>
  <c r="C26" i="9"/>
  <c r="C89" i="7" s="1"/>
  <c r="D26" i="9"/>
  <c r="D89" i="7" s="1"/>
  <c r="E26" i="9"/>
  <c r="E89" i="7" s="1"/>
  <c r="F26" i="9"/>
  <c r="F89" i="7" s="1"/>
  <c r="G26" i="9"/>
  <c r="G89" i="7" s="1"/>
  <c r="H26" i="9"/>
  <c r="I26" i="9"/>
  <c r="I89" i="7" s="1"/>
  <c r="J26" i="9"/>
  <c r="J89" i="7" s="1"/>
  <c r="K26" i="9"/>
  <c r="K89" i="7" s="1"/>
  <c r="L26" i="9"/>
  <c r="C34" i="9"/>
  <c r="C97" i="7" s="1"/>
  <c r="D34" i="9"/>
  <c r="D97" i="7" s="1"/>
  <c r="E34" i="9"/>
  <c r="E97" i="7" s="1"/>
  <c r="F34" i="9"/>
  <c r="F97" i="7" s="1"/>
  <c r="G34" i="9"/>
  <c r="G97" i="7" s="1"/>
  <c r="H34" i="9"/>
  <c r="H97" i="7" s="1"/>
  <c r="I34" i="9"/>
  <c r="I97" i="7" s="1"/>
  <c r="J34" i="9"/>
  <c r="J97" i="7" s="1"/>
  <c r="K34" i="9"/>
  <c r="K97" i="7" s="1"/>
  <c r="L34" i="9"/>
  <c r="L97" i="7" s="1"/>
  <c r="D36" i="9"/>
  <c r="D99" i="7" s="1"/>
  <c r="E36" i="9"/>
  <c r="E99" i="7" s="1"/>
  <c r="F36" i="9"/>
  <c r="F99" i="7" s="1"/>
  <c r="G36" i="9"/>
  <c r="G99" i="7" s="1"/>
  <c r="I36" i="9"/>
  <c r="I99" i="7" s="1"/>
  <c r="J36" i="9"/>
  <c r="J99" i="7" s="1"/>
  <c r="C41" i="7"/>
  <c r="D41" i="7"/>
  <c r="E41" i="7"/>
  <c r="F41" i="7"/>
  <c r="G41" i="7"/>
  <c r="H41" i="7"/>
  <c r="I41" i="7"/>
  <c r="J41" i="7"/>
  <c r="K41" i="7"/>
  <c r="C32" i="7"/>
  <c r="D32" i="7"/>
  <c r="E32" i="7"/>
  <c r="F32" i="7"/>
  <c r="G32" i="7"/>
  <c r="H32" i="7"/>
  <c r="I32" i="7"/>
  <c r="J32" i="7"/>
  <c r="K32" i="7"/>
  <c r="L32" i="7"/>
  <c r="R41" i="17" s="1"/>
  <c r="C31" i="7"/>
  <c r="D31" i="7"/>
  <c r="E31" i="7"/>
  <c r="F31" i="7"/>
  <c r="G31" i="7"/>
  <c r="H31" i="7"/>
  <c r="I31" i="7"/>
  <c r="J31" i="7"/>
  <c r="K31" i="7"/>
  <c r="B52" i="7"/>
  <c r="A62" i="17" s="1"/>
  <c r="B56" i="7"/>
  <c r="A66" i="17" s="1"/>
  <c r="B32" i="7"/>
  <c r="B41" i="7"/>
  <c r="B42" i="7"/>
  <c r="A54" i="17" s="1"/>
  <c r="B49" i="7"/>
  <c r="A17" i="17" s="1"/>
  <c r="B50" i="7"/>
  <c r="A58" i="17" s="1"/>
  <c r="B51" i="7"/>
  <c r="A74" i="17" s="1"/>
  <c r="B31" i="7"/>
  <c r="A41" i="17" s="1"/>
  <c r="C25" i="7"/>
  <c r="B37" i="17" s="1"/>
  <c r="D25" i="7"/>
  <c r="C37" i="17" s="1"/>
  <c r="E25" i="7"/>
  <c r="D37" i="17" s="1"/>
  <c r="F25" i="7"/>
  <c r="E37" i="17" s="1"/>
  <c r="G25" i="7"/>
  <c r="F37" i="17" s="1"/>
  <c r="H25" i="7"/>
  <c r="G37" i="17" s="1"/>
  <c r="I25" i="7"/>
  <c r="H37" i="17" s="1"/>
  <c r="J25" i="7"/>
  <c r="I37" i="17" s="1"/>
  <c r="K25" i="7"/>
  <c r="J37" i="17" s="1"/>
  <c r="L25" i="7"/>
  <c r="K37" i="17" s="1"/>
  <c r="C21" i="7"/>
  <c r="B31" i="17" s="1"/>
  <c r="D21" i="7"/>
  <c r="C31" i="17" s="1"/>
  <c r="E21" i="7"/>
  <c r="D31" i="17" s="1"/>
  <c r="F21" i="7"/>
  <c r="E31" i="17" s="1"/>
  <c r="G21" i="7"/>
  <c r="F31" i="17" s="1"/>
  <c r="H21" i="7"/>
  <c r="G31" i="17" s="1"/>
  <c r="I21" i="7"/>
  <c r="H31" i="17" s="1"/>
  <c r="J21" i="7"/>
  <c r="I31" i="17" s="1"/>
  <c r="K21" i="7"/>
  <c r="J31" i="17" s="1"/>
  <c r="L21" i="7"/>
  <c r="K31" i="17" s="1"/>
  <c r="C20" i="7"/>
  <c r="D20" i="7"/>
  <c r="E20" i="7"/>
  <c r="F20" i="7"/>
  <c r="G20" i="7"/>
  <c r="F27" i="17" s="1"/>
  <c r="F28" i="17" s="1"/>
  <c r="H20" i="7"/>
  <c r="G27" i="17" s="1"/>
  <c r="G28" i="17" s="1"/>
  <c r="I20" i="7"/>
  <c r="H27" i="17" s="1"/>
  <c r="H28" i="17" s="1"/>
  <c r="J20" i="7"/>
  <c r="I27" i="17" s="1"/>
  <c r="I28" i="17" s="1"/>
  <c r="K20" i="7"/>
  <c r="J27" i="17" s="1"/>
  <c r="J28" i="17" s="1"/>
  <c r="L20" i="7"/>
  <c r="K27" i="17" s="1"/>
  <c r="C16" i="7"/>
  <c r="D16" i="7"/>
  <c r="E16" i="7"/>
  <c r="F16" i="7"/>
  <c r="G16" i="7"/>
  <c r="H16" i="7"/>
  <c r="I16" i="7"/>
  <c r="J16" i="7"/>
  <c r="K16" i="7"/>
  <c r="L16" i="7"/>
  <c r="C12" i="7"/>
  <c r="B13" i="17" s="1"/>
  <c r="D12" i="7"/>
  <c r="C13" i="17" s="1"/>
  <c r="E12" i="7"/>
  <c r="D13" i="17" s="1"/>
  <c r="F12" i="7"/>
  <c r="E13" i="17" s="1"/>
  <c r="G12" i="7"/>
  <c r="F13" i="17" s="1"/>
  <c r="H12" i="7"/>
  <c r="G13" i="17" s="1"/>
  <c r="I12" i="7"/>
  <c r="H13" i="17" s="1"/>
  <c r="J12" i="7"/>
  <c r="I13" i="17" s="1"/>
  <c r="K12" i="7"/>
  <c r="J13" i="17" s="1"/>
  <c r="L12" i="7"/>
  <c r="K13" i="17" s="1"/>
  <c r="C11" i="7"/>
  <c r="B9" i="17" s="1"/>
  <c r="D11" i="7"/>
  <c r="C9" i="17" s="1"/>
  <c r="E11" i="7"/>
  <c r="D9" i="17" s="1"/>
  <c r="F11" i="7"/>
  <c r="E9" i="17" s="1"/>
  <c r="G11" i="7"/>
  <c r="F9" i="17" s="1"/>
  <c r="H11" i="7"/>
  <c r="G9" i="17" s="1"/>
  <c r="I11" i="7"/>
  <c r="H9" i="17" s="1"/>
  <c r="J11" i="7"/>
  <c r="I9" i="17" s="1"/>
  <c r="K11" i="7"/>
  <c r="J9" i="17" s="1"/>
  <c r="L11" i="7"/>
  <c r="K9" i="17" s="1"/>
  <c r="B21" i="7"/>
  <c r="A31" i="17" s="1"/>
  <c r="B20" i="7"/>
  <c r="B16" i="7"/>
  <c r="A18" i="17" s="1"/>
  <c r="B12" i="7"/>
  <c r="A13" i="17" s="1"/>
  <c r="C5" i="7"/>
  <c r="B4" i="17" s="1"/>
  <c r="D5" i="7"/>
  <c r="C4" i="17" s="1"/>
  <c r="E5" i="7"/>
  <c r="D4" i="17" s="1"/>
  <c r="F5" i="7"/>
  <c r="E4" i="17" s="1"/>
  <c r="G5" i="7"/>
  <c r="F4" i="17" s="1"/>
  <c r="H5" i="7"/>
  <c r="G4" i="17" s="1"/>
  <c r="I5" i="7"/>
  <c r="H4" i="17" s="1"/>
  <c r="J5" i="7"/>
  <c r="I4" i="17" s="1"/>
  <c r="K5" i="7"/>
  <c r="J4" i="17" s="1"/>
  <c r="L5" i="7"/>
  <c r="K4" i="17" s="1"/>
  <c r="B5" i="7"/>
  <c r="A4" i="17" s="1"/>
  <c r="L2" i="7"/>
  <c r="K3" i="17" s="1"/>
  <c r="K2" i="7"/>
  <c r="J3" i="17" s="1"/>
  <c r="I2" i="7"/>
  <c r="H3" i="17" s="1"/>
  <c r="J2" i="7"/>
  <c r="I3" i="17" s="1"/>
  <c r="C2" i="7"/>
  <c r="B3" i="17" s="1"/>
  <c r="D2" i="7"/>
  <c r="C3" i="17" s="1"/>
  <c r="E2" i="7"/>
  <c r="D3" i="17" s="1"/>
  <c r="F2" i="7"/>
  <c r="E3" i="17" s="1"/>
  <c r="H2" i="7"/>
  <c r="G3" i="17" s="1"/>
  <c r="B6" i="6"/>
  <c r="E1" i="6"/>
  <c r="B2" i="11"/>
  <c r="B2" i="10"/>
  <c r="C42" i="7"/>
  <c r="B54" i="17" s="1"/>
  <c r="B55" i="17" s="1"/>
  <c r="C38" i="7"/>
  <c r="D42" i="7"/>
  <c r="D38" i="7"/>
  <c r="E42" i="7"/>
  <c r="E38" i="7"/>
  <c r="F42" i="7"/>
  <c r="F38" i="7"/>
  <c r="G42" i="7"/>
  <c r="G38" i="7"/>
  <c r="H42" i="7"/>
  <c r="H38" i="7"/>
  <c r="I42" i="7"/>
  <c r="H54" i="17" s="1"/>
  <c r="H55" i="17" s="1"/>
  <c r="I38" i="7"/>
  <c r="J42" i="7"/>
  <c r="J38" i="7"/>
  <c r="K42" i="7"/>
  <c r="K38" i="7"/>
  <c r="L42" i="7"/>
  <c r="K54" i="17" s="1"/>
  <c r="K55" i="17" s="1"/>
  <c r="L38" i="7"/>
  <c r="F6" i="7"/>
  <c r="G6" i="7"/>
  <c r="H6" i="7"/>
  <c r="I6" i="7"/>
  <c r="J6" i="7"/>
  <c r="K6" i="7"/>
  <c r="L6" i="7"/>
  <c r="G84" i="17" l="1"/>
  <c r="H84" i="17"/>
  <c r="I84" i="17"/>
  <c r="J84" i="17"/>
  <c r="K84" i="17"/>
  <c r="E59" i="17"/>
  <c r="D84" i="17"/>
  <c r="F84" i="17"/>
  <c r="I59" i="17"/>
  <c r="K59" i="17"/>
  <c r="D51" i="17"/>
  <c r="E51" i="17"/>
  <c r="H51" i="17"/>
  <c r="B59" i="17"/>
  <c r="M88" i="7"/>
  <c r="M79" i="7"/>
  <c r="C84" i="17"/>
  <c r="M84" i="7"/>
  <c r="J59" i="17"/>
  <c r="C51" i="17"/>
  <c r="G51" i="17"/>
  <c r="J51" i="17"/>
  <c r="K28" i="17"/>
  <c r="D59" i="17"/>
  <c r="M85" i="7"/>
  <c r="M86" i="7"/>
  <c r="N86" i="7" s="1"/>
  <c r="N88" i="7"/>
  <c r="O88" i="7" s="1"/>
  <c r="O79" i="7"/>
  <c r="B84" i="17"/>
  <c r="E84" i="17"/>
  <c r="N84" i="7"/>
  <c r="O84" i="7" s="1"/>
  <c r="H59" i="17"/>
  <c r="B51" i="17"/>
  <c r="F51" i="17"/>
  <c r="I51" i="17"/>
  <c r="K51" i="17"/>
  <c r="C59" i="17"/>
  <c r="F59" i="17"/>
  <c r="G59" i="17"/>
  <c r="R30" i="17"/>
  <c r="M41" i="7" s="1"/>
  <c r="C20" i="10"/>
  <c r="C36" i="10" s="1"/>
  <c r="B47" i="17" s="1"/>
  <c r="D20" i="10"/>
  <c r="D36" i="10" s="1"/>
  <c r="C47" i="17" s="1"/>
  <c r="E20" i="10"/>
  <c r="E36" i="10" s="1"/>
  <c r="D47" i="17" s="1"/>
  <c r="F20" i="10"/>
  <c r="F36" i="10" s="1"/>
  <c r="E47" i="17" s="1"/>
  <c r="G20" i="10"/>
  <c r="G36" i="10" s="1"/>
  <c r="F47" i="17" s="1"/>
  <c r="H20" i="10"/>
  <c r="H36" i="10" s="1"/>
  <c r="G47" i="17" s="1"/>
  <c r="I20" i="10"/>
  <c r="I36" i="10" s="1"/>
  <c r="H47" i="17" s="1"/>
  <c r="J20" i="10"/>
  <c r="J36" i="10" s="1"/>
  <c r="I47" i="17" s="1"/>
  <c r="K20" i="10"/>
  <c r="K36" i="10" s="1"/>
  <c r="J47" i="17" s="1"/>
  <c r="L31" i="10"/>
  <c r="K88" i="17"/>
  <c r="N95" i="7"/>
  <c r="O95" i="7"/>
  <c r="N88" i="17" s="1"/>
  <c r="C31" i="10"/>
  <c r="B41" i="17"/>
  <c r="D31" i="10"/>
  <c r="C41" i="17"/>
  <c r="E31" i="10"/>
  <c r="D41" i="17"/>
  <c r="F31" i="10"/>
  <c r="E41" i="17"/>
  <c r="G31" i="10"/>
  <c r="F41" i="17"/>
  <c r="H31" i="10"/>
  <c r="G41" i="17"/>
  <c r="I31" i="10"/>
  <c r="H41" i="17"/>
  <c r="J31" i="10"/>
  <c r="I41" i="17"/>
  <c r="K31" i="10"/>
  <c r="J41" i="17"/>
  <c r="F6" i="12"/>
  <c r="B18" i="17"/>
  <c r="B19" i="17" s="1"/>
  <c r="G6" i="12"/>
  <c r="C18" i="17"/>
  <c r="C19" i="17" s="1"/>
  <c r="H6" i="12"/>
  <c r="D18" i="17"/>
  <c r="D19" i="17" s="1"/>
  <c r="I6" i="12"/>
  <c r="E18" i="17"/>
  <c r="E19" i="17" s="1"/>
  <c r="J6" i="12"/>
  <c r="F18" i="17"/>
  <c r="F19" i="17" s="1"/>
  <c r="K6" i="12"/>
  <c r="G18" i="17"/>
  <c r="G19" i="17" s="1"/>
  <c r="L6" i="12"/>
  <c r="H18" i="17"/>
  <c r="H19" i="17" s="1"/>
  <c r="M6" i="12"/>
  <c r="I18" i="17"/>
  <c r="I19" i="17" s="1"/>
  <c r="N6" i="12"/>
  <c r="J18" i="17"/>
  <c r="J19" i="17" s="1"/>
  <c r="O6" i="12"/>
  <c r="K18" i="17"/>
  <c r="K19" i="17" s="1"/>
  <c r="B13" i="11"/>
  <c r="B19" i="11"/>
  <c r="D43" i="7"/>
  <c r="C54" i="17"/>
  <c r="C55" i="17" s="1"/>
  <c r="E43" i="7"/>
  <c r="D54" i="17"/>
  <c r="D55" i="17" s="1"/>
  <c r="F43" i="7"/>
  <c r="E54" i="17"/>
  <c r="E55" i="17" s="1"/>
  <c r="G43" i="7"/>
  <c r="F54" i="17"/>
  <c r="F55" i="17" s="1"/>
  <c r="H43" i="7"/>
  <c r="G54" i="17"/>
  <c r="G55" i="17" s="1"/>
  <c r="J43" i="7"/>
  <c r="I54" i="17"/>
  <c r="I55" i="17" s="1"/>
  <c r="K43" i="7"/>
  <c r="J54" i="17"/>
  <c r="J55" i="17" s="1"/>
  <c r="F90" i="17"/>
  <c r="G90" i="17"/>
  <c r="M87" i="17" s="1"/>
  <c r="B80" i="17"/>
  <c r="B85" i="17"/>
  <c r="B52" i="17"/>
  <c r="B76" i="17"/>
  <c r="B60" i="17"/>
  <c r="P84" i="7"/>
  <c r="Q84" i="7" s="1"/>
  <c r="M89" i="17"/>
  <c r="N93" i="7"/>
  <c r="S27" i="17"/>
  <c r="B32" i="17"/>
  <c r="C32" i="17"/>
  <c r="D32" i="17"/>
  <c r="E32" i="17"/>
  <c r="F32" i="17"/>
  <c r="G32" i="17"/>
  <c r="H32" i="17"/>
  <c r="I32" i="17"/>
  <c r="J32" i="17"/>
  <c r="K32" i="17"/>
  <c r="B23" i="17"/>
  <c r="C23" i="17"/>
  <c r="D23" i="17"/>
  <c r="E23" i="17"/>
  <c r="F23" i="17"/>
  <c r="G23" i="17"/>
  <c r="H23" i="17"/>
  <c r="I23" i="17"/>
  <c r="J23" i="17"/>
  <c r="K23" i="17"/>
  <c r="B14" i="17"/>
  <c r="C14" i="17"/>
  <c r="D14" i="17"/>
  <c r="E14" i="17"/>
  <c r="F14" i="17"/>
  <c r="G14" i="17"/>
  <c r="H14" i="17"/>
  <c r="I14" i="17"/>
  <c r="J14" i="17"/>
  <c r="K14" i="17"/>
  <c r="B10" i="17"/>
  <c r="C10" i="17"/>
  <c r="D10" i="17"/>
  <c r="E10" i="17"/>
  <c r="F10" i="17"/>
  <c r="G10" i="17"/>
  <c r="H10" i="17"/>
  <c r="I10" i="17"/>
  <c r="J10" i="17"/>
  <c r="K10" i="17"/>
  <c r="D6" i="17"/>
  <c r="E6" i="17"/>
  <c r="F6" i="17"/>
  <c r="G6" i="17"/>
  <c r="H6" i="17"/>
  <c r="I6" i="17"/>
  <c r="J6" i="17"/>
  <c r="K6" i="17"/>
  <c r="B6" i="17"/>
  <c r="C6" i="17"/>
  <c r="B7" i="17" s="1"/>
  <c r="B11" i="17"/>
  <c r="B33" i="17"/>
  <c r="B24" i="17"/>
  <c r="B20" i="17"/>
  <c r="L43" i="7"/>
  <c r="L45" i="7" s="1"/>
  <c r="L18" i="17"/>
  <c r="B15" i="17"/>
  <c r="B23" i="15"/>
  <c r="A3" i="17"/>
  <c r="C43" i="7"/>
  <c r="I43" i="7"/>
  <c r="C72" i="7"/>
  <c r="C12" i="9"/>
  <c r="J45" i="7"/>
  <c r="F45" i="7"/>
  <c r="L89" i="7"/>
  <c r="L36" i="9"/>
  <c r="L99" i="7" s="1"/>
  <c r="K72" i="7"/>
  <c r="K12" i="9"/>
  <c r="E45" i="7"/>
  <c r="H45" i="7"/>
  <c r="H89" i="7"/>
  <c r="H36" i="9"/>
  <c r="H99" i="7" s="1"/>
  <c r="I45" i="7"/>
  <c r="C26" i="10"/>
  <c r="D26" i="10"/>
  <c r="E26" i="10"/>
  <c r="F26" i="10"/>
  <c r="G26" i="10"/>
  <c r="H26" i="10"/>
  <c r="I26" i="10"/>
  <c r="J26" i="10"/>
  <c r="K26" i="10"/>
  <c r="L26" i="10"/>
  <c r="C45" i="7"/>
  <c r="D45" i="7"/>
  <c r="G45" i="7"/>
  <c r="K45" i="7"/>
  <c r="O7" i="12"/>
  <c r="L20" i="10"/>
  <c r="L36" i="10" s="1"/>
  <c r="K47" i="17" s="1"/>
  <c r="F8" i="12"/>
  <c r="C18" i="10"/>
  <c r="C34" i="10" s="1"/>
  <c r="B71" i="17" s="1"/>
  <c r="G8" i="12"/>
  <c r="D18" i="10"/>
  <c r="D34" i="10" s="1"/>
  <c r="C71" i="17" s="1"/>
  <c r="H8" i="12"/>
  <c r="E18" i="10"/>
  <c r="E34" i="10" s="1"/>
  <c r="D71" i="17" s="1"/>
  <c r="F18" i="10"/>
  <c r="F34" i="10" s="1"/>
  <c r="E71" i="17" s="1"/>
  <c r="I8" i="12"/>
  <c r="J8" i="12"/>
  <c r="G18" i="10"/>
  <c r="G34" i="10" s="1"/>
  <c r="F71" i="17" s="1"/>
  <c r="K8" i="12"/>
  <c r="H18" i="10"/>
  <c r="H34" i="10" s="1"/>
  <c r="G71" i="17" s="1"/>
  <c r="L8" i="12"/>
  <c r="I18" i="10"/>
  <c r="I34" i="10" s="1"/>
  <c r="H71" i="17" s="1"/>
  <c r="M8" i="12"/>
  <c r="J18" i="10"/>
  <c r="J34" i="10" s="1"/>
  <c r="I71" i="17" s="1"/>
  <c r="N8" i="12"/>
  <c r="K18" i="10"/>
  <c r="K34" i="10" s="1"/>
  <c r="J71" i="17" s="1"/>
  <c r="O8" i="12"/>
  <c r="L18" i="10"/>
  <c r="L34" i="10" s="1"/>
  <c r="K71" i="17" s="1"/>
  <c r="C52" i="7"/>
  <c r="C59" i="7"/>
  <c r="D52" i="7"/>
  <c r="D59" i="7"/>
  <c r="E52" i="7"/>
  <c r="E59" i="7"/>
  <c r="F52" i="7"/>
  <c r="F59" i="7"/>
  <c r="G52" i="7"/>
  <c r="G59" i="7"/>
  <c r="H52" i="7"/>
  <c r="H59" i="7"/>
  <c r="I59" i="7"/>
  <c r="I52" i="7"/>
  <c r="J52" i="7"/>
  <c r="J59" i="7"/>
  <c r="K52" i="7"/>
  <c r="K59" i="7"/>
  <c r="L52" i="7"/>
  <c r="L59" i="7"/>
  <c r="C12" i="10"/>
  <c r="D12" i="10"/>
  <c r="E12" i="10"/>
  <c r="F12" i="10"/>
  <c r="G12" i="10"/>
  <c r="H12" i="10"/>
  <c r="I12" i="10"/>
  <c r="J12" i="10"/>
  <c r="K12" i="10"/>
  <c r="F5" i="13"/>
  <c r="G20" i="12"/>
  <c r="C21" i="10"/>
  <c r="C8" i="7"/>
  <c r="C19" i="10"/>
  <c r="C35" i="10" s="1"/>
  <c r="B67" i="17" s="1"/>
  <c r="C6" i="7"/>
  <c r="D19" i="10"/>
  <c r="D35" i="10" s="1"/>
  <c r="C67" i="17" s="1"/>
  <c r="D6" i="7"/>
  <c r="D8" i="7"/>
  <c r="D21" i="10"/>
  <c r="E8" i="7"/>
  <c r="E21" i="10"/>
  <c r="E19" i="10"/>
  <c r="E35" i="10" s="1"/>
  <c r="D67" i="17" s="1"/>
  <c r="E6" i="7"/>
  <c r="F8" i="7"/>
  <c r="F19" i="10"/>
  <c r="F35" i="10" s="1"/>
  <c r="E67" i="17" s="1"/>
  <c r="F21" i="10"/>
  <c r="G8" i="7"/>
  <c r="G21" i="10"/>
  <c r="G19" i="10"/>
  <c r="G35" i="10" s="1"/>
  <c r="F67" i="17" s="1"/>
  <c r="H8" i="7"/>
  <c r="H19" i="10"/>
  <c r="H35" i="10" s="1"/>
  <c r="G67" i="17" s="1"/>
  <c r="H21" i="10"/>
  <c r="I8" i="7"/>
  <c r="I21" i="10"/>
  <c r="I19" i="10"/>
  <c r="I35" i="10" s="1"/>
  <c r="H67" i="17" s="1"/>
  <c r="J8" i="7"/>
  <c r="J19" i="10"/>
  <c r="J35" i="10" s="1"/>
  <c r="I67" i="17" s="1"/>
  <c r="J21" i="10"/>
  <c r="K8" i="7"/>
  <c r="K19" i="10"/>
  <c r="K35" i="10" s="1"/>
  <c r="J67" i="17" s="1"/>
  <c r="K21" i="10"/>
  <c r="M3" i="7"/>
  <c r="S3" i="7" s="1"/>
  <c r="L21" i="10"/>
  <c r="L19" i="10"/>
  <c r="L35" i="10" s="1"/>
  <c r="K67" i="17" s="1"/>
  <c r="L8" i="7"/>
  <c r="M2" i="7"/>
  <c r="L23" i="15"/>
  <c r="L2" i="11"/>
  <c r="L2" i="10"/>
  <c r="K23" i="15"/>
  <c r="K2" i="10"/>
  <c r="K2" i="11"/>
  <c r="I2" i="10"/>
  <c r="I23" i="15"/>
  <c r="I2" i="11"/>
  <c r="J2" i="10"/>
  <c r="J23" i="15"/>
  <c r="J2" i="11"/>
  <c r="C2" i="11"/>
  <c r="C23" i="15"/>
  <c r="C2" i="10"/>
  <c r="D2" i="11"/>
  <c r="D23" i="15"/>
  <c r="D2" i="10"/>
  <c r="E2" i="11"/>
  <c r="E23" i="15"/>
  <c r="E2" i="10"/>
  <c r="F2" i="11"/>
  <c r="F23" i="15"/>
  <c r="F2" i="10"/>
  <c r="G2" i="11"/>
  <c r="G23" i="15"/>
  <c r="G2" i="10"/>
  <c r="H2" i="11"/>
  <c r="H2" i="10"/>
  <c r="H23" i="15"/>
  <c r="L12" i="10"/>
  <c r="C19" i="11"/>
  <c r="C13" i="11"/>
  <c r="D19" i="11"/>
  <c r="D13" i="11"/>
  <c r="E19" i="11"/>
  <c r="E13" i="11"/>
  <c r="F19" i="11"/>
  <c r="F13" i="11"/>
  <c r="G19" i="11"/>
  <c r="G13" i="11"/>
  <c r="H19" i="11"/>
  <c r="H13" i="11"/>
  <c r="N79" i="7" l="1"/>
  <c r="P79" i="7"/>
  <c r="Q79" i="7" s="1"/>
  <c r="N85" i="7"/>
  <c r="O85" i="7"/>
  <c r="O86" i="7"/>
  <c r="P88" i="7"/>
  <c r="Q88" i="7" s="1"/>
  <c r="B56" i="17"/>
  <c r="B48" i="17"/>
  <c r="L87" i="17"/>
  <c r="M88" i="17"/>
  <c r="P95" i="7"/>
  <c r="O88" i="17" s="1"/>
  <c r="Q95" i="7"/>
  <c r="P88" i="17" s="1"/>
  <c r="C53" i="7"/>
  <c r="B62" i="17"/>
  <c r="B63" i="17" s="1"/>
  <c r="D53" i="7"/>
  <c r="C62" i="17"/>
  <c r="C63" i="17" s="1"/>
  <c r="E53" i="7"/>
  <c r="D62" i="17"/>
  <c r="D63" i="17" s="1"/>
  <c r="F53" i="7"/>
  <c r="E62" i="17"/>
  <c r="E63" i="17" s="1"/>
  <c r="G53" i="7"/>
  <c r="F62" i="17"/>
  <c r="F63" i="17" s="1"/>
  <c r="H53" i="7"/>
  <c r="G62" i="17"/>
  <c r="G63" i="17" s="1"/>
  <c r="I53" i="7"/>
  <c r="H62" i="17"/>
  <c r="H63" i="17" s="1"/>
  <c r="J53" i="7"/>
  <c r="I62" i="17"/>
  <c r="I63" i="17" s="1"/>
  <c r="K53" i="7"/>
  <c r="J62" i="17"/>
  <c r="J63" i="17" s="1"/>
  <c r="L53" i="7"/>
  <c r="K62" i="17"/>
  <c r="K63" i="17" s="1"/>
  <c r="B72" i="17"/>
  <c r="B68" i="17"/>
  <c r="S30" i="17"/>
  <c r="N41" i="7" s="1"/>
  <c r="R23" i="17"/>
  <c r="M16" i="7"/>
  <c r="J13" i="11"/>
  <c r="J19" i="11"/>
  <c r="D38" i="10"/>
  <c r="F38" i="10"/>
  <c r="G38" i="10"/>
  <c r="H38" i="10"/>
  <c r="K38" i="10"/>
  <c r="C38" i="10"/>
  <c r="E38" i="10"/>
  <c r="I38" i="10"/>
  <c r="J38" i="10"/>
  <c r="O21" i="13"/>
  <c r="P21" i="13"/>
  <c r="Q21" i="13"/>
  <c r="N21" i="13"/>
  <c r="G5" i="13"/>
  <c r="N5" i="13" s="1"/>
  <c r="L3" i="17"/>
  <c r="R20" i="17" s="1"/>
  <c r="R26" i="17" s="1"/>
  <c r="R40" i="17" s="1"/>
  <c r="L13" i="11"/>
  <c r="L19" i="11"/>
  <c r="K13" i="11"/>
  <c r="K19" i="11"/>
  <c r="I19" i="11"/>
  <c r="I13" i="11"/>
  <c r="C36" i="9"/>
  <c r="C99" i="7" s="1"/>
  <c r="C75" i="7"/>
  <c r="L38" i="10"/>
  <c r="K36" i="9"/>
  <c r="K99" i="7" s="1"/>
  <c r="K75" i="7"/>
  <c r="C24" i="10"/>
  <c r="C25" i="10"/>
  <c r="C61" i="7"/>
  <c r="D61" i="7"/>
  <c r="D24" i="10"/>
  <c r="D25" i="10"/>
  <c r="E61" i="7"/>
  <c r="E25" i="10"/>
  <c r="E24" i="10"/>
  <c r="F24" i="10"/>
  <c r="F61" i="7"/>
  <c r="F25" i="10"/>
  <c r="G61" i="7"/>
  <c r="G24" i="10"/>
  <c r="G25" i="10"/>
  <c r="H61" i="7"/>
  <c r="H24" i="10"/>
  <c r="H25" i="10"/>
  <c r="I24" i="10"/>
  <c r="I25" i="10"/>
  <c r="I61" i="7"/>
  <c r="J61" i="7"/>
  <c r="J25" i="10"/>
  <c r="J24" i="10"/>
  <c r="K61" i="7"/>
  <c r="K24" i="10"/>
  <c r="K25" i="10"/>
  <c r="L24" i="10"/>
  <c r="L61" i="7"/>
  <c r="L25" i="10"/>
  <c r="C9" i="7"/>
  <c r="C4" i="10" s="1"/>
  <c r="C13" i="7"/>
  <c r="D9" i="7"/>
  <c r="D4" i="10" s="1"/>
  <c r="D13" i="7"/>
  <c r="E9" i="7"/>
  <c r="E4" i="10" s="1"/>
  <c r="E13" i="7"/>
  <c r="F13" i="7"/>
  <c r="F9" i="7"/>
  <c r="F4" i="10" s="1"/>
  <c r="G9" i="7"/>
  <c r="G4" i="10" s="1"/>
  <c r="G13" i="7"/>
  <c r="H9" i="7"/>
  <c r="H4" i="10" s="1"/>
  <c r="H13" i="7"/>
  <c r="I13" i="7"/>
  <c r="I9" i="7"/>
  <c r="I4" i="10" s="1"/>
  <c r="J13" i="7"/>
  <c r="J9" i="7"/>
  <c r="J4" i="10" s="1"/>
  <c r="K13" i="7"/>
  <c r="K9" i="7"/>
  <c r="K4" i="10" s="1"/>
  <c r="L9" i="7"/>
  <c r="L4" i="10" s="1"/>
  <c r="L13" i="7"/>
  <c r="M2" i="10"/>
  <c r="N2" i="7"/>
  <c r="M2" i="11"/>
  <c r="M5" i="7"/>
  <c r="P85" i="7" l="1"/>
  <c r="Q85" i="7" s="1"/>
  <c r="P86" i="7"/>
  <c r="Q86" i="7" s="1"/>
  <c r="M93" i="7"/>
  <c r="L89" i="17"/>
  <c r="B64" i="17"/>
  <c r="S5" i="7"/>
  <c r="L4" i="17"/>
  <c r="T27" i="17"/>
  <c r="M3" i="17"/>
  <c r="S20" i="17" s="1"/>
  <c r="S26" i="17" s="1"/>
  <c r="S40" i="17" s="1"/>
  <c r="C17" i="10"/>
  <c r="C7" i="11"/>
  <c r="C13" i="10"/>
  <c r="C8" i="11"/>
  <c r="D7" i="11"/>
  <c r="D17" i="10"/>
  <c r="D13" i="10"/>
  <c r="D8" i="11"/>
  <c r="E7" i="11"/>
  <c r="E17" i="10"/>
  <c r="E13" i="10"/>
  <c r="E8" i="11"/>
  <c r="F17" i="10"/>
  <c r="F7" i="11"/>
  <c r="F13" i="10"/>
  <c r="F8" i="11"/>
  <c r="G13" i="10"/>
  <c r="G17" i="10"/>
  <c r="G7" i="11"/>
  <c r="G8" i="11"/>
  <c r="H13" i="10"/>
  <c r="H17" i="10"/>
  <c r="H7" i="11"/>
  <c r="H8" i="11"/>
  <c r="I13" i="10"/>
  <c r="I17" i="10"/>
  <c r="I7" i="11"/>
  <c r="I8" i="11"/>
  <c r="J13" i="10"/>
  <c r="J17" i="10"/>
  <c r="J7" i="11"/>
  <c r="J8" i="11"/>
  <c r="K13" i="10"/>
  <c r="K7" i="11"/>
  <c r="K17" i="10"/>
  <c r="K8" i="11"/>
  <c r="L13" i="10"/>
  <c r="L8" i="11"/>
  <c r="L17" i="10"/>
  <c r="L7" i="11"/>
  <c r="C14" i="7"/>
  <c r="C5" i="10" s="1"/>
  <c r="C17" i="7"/>
  <c r="B36" i="17" s="1"/>
  <c r="B38" i="17" s="1"/>
  <c r="D17" i="7"/>
  <c r="C36" i="17" s="1"/>
  <c r="C38" i="17" s="1"/>
  <c r="D14" i="7"/>
  <c r="D5" i="10" s="1"/>
  <c r="E17" i="7"/>
  <c r="D36" i="17" s="1"/>
  <c r="D38" i="17" s="1"/>
  <c r="E14" i="7"/>
  <c r="E5" i="10" s="1"/>
  <c r="F17" i="7"/>
  <c r="E36" i="17" s="1"/>
  <c r="E38" i="17" s="1"/>
  <c r="F14" i="7"/>
  <c r="F5" i="10" s="1"/>
  <c r="G17" i="7"/>
  <c r="F36" i="17" s="1"/>
  <c r="F38" i="17" s="1"/>
  <c r="G14" i="7"/>
  <c r="G5" i="10" s="1"/>
  <c r="H17" i="7"/>
  <c r="G36" i="17" s="1"/>
  <c r="G38" i="17" s="1"/>
  <c r="H14" i="7"/>
  <c r="H5" i="10" s="1"/>
  <c r="I17" i="7"/>
  <c r="H36" i="17" s="1"/>
  <c r="H38" i="17" s="1"/>
  <c r="I14" i="7"/>
  <c r="I5" i="10" s="1"/>
  <c r="J17" i="7"/>
  <c r="I36" i="17" s="1"/>
  <c r="I38" i="17" s="1"/>
  <c r="J14" i="7"/>
  <c r="J5" i="10" s="1"/>
  <c r="K17" i="7"/>
  <c r="J36" i="17" s="1"/>
  <c r="J38" i="17" s="1"/>
  <c r="K14" i="7"/>
  <c r="K5" i="10" s="1"/>
  <c r="J5" i="13"/>
  <c r="O5" i="13" s="1"/>
  <c r="L14" i="7"/>
  <c r="L5" i="10" s="1"/>
  <c r="L17" i="7"/>
  <c r="K36" i="17" s="1"/>
  <c r="K38" i="17" s="1"/>
  <c r="M31" i="10"/>
  <c r="M41" i="10"/>
  <c r="M42" i="10" s="1"/>
  <c r="N2" i="11"/>
  <c r="N5" i="7"/>
  <c r="M4" i="17" s="1"/>
  <c r="O2" i="7"/>
  <c r="N2" i="10"/>
  <c r="M13" i="11"/>
  <c r="M19" i="11"/>
  <c r="M6" i="7"/>
  <c r="N3" i="7"/>
  <c r="T3" i="7" s="1"/>
  <c r="N11" i="13"/>
  <c r="N13" i="13"/>
  <c r="N20" i="13" s="1"/>
  <c r="N22" i="13" s="1"/>
  <c r="N24" i="13" s="1"/>
  <c r="N14" i="13"/>
  <c r="N12" i="13"/>
  <c r="N15" i="13"/>
  <c r="N16" i="13"/>
  <c r="I90" i="17" l="1"/>
  <c r="O87" i="17" s="1"/>
  <c r="H90" i="17"/>
  <c r="N87" i="17" s="1"/>
  <c r="L13" i="17"/>
  <c r="L9" i="17"/>
  <c r="L5" i="17"/>
  <c r="R21" i="17"/>
  <c r="L31" i="17"/>
  <c r="L50" i="17"/>
  <c r="L54" i="17"/>
  <c r="L62" i="17"/>
  <c r="L66" i="17"/>
  <c r="L74" i="17"/>
  <c r="B39" i="17"/>
  <c r="T30" i="17"/>
  <c r="O11" i="13"/>
  <c r="O12" i="13"/>
  <c r="O14" i="13"/>
  <c r="O15" i="13"/>
  <c r="O16" i="13"/>
  <c r="O13" i="13"/>
  <c r="O20" i="13" s="1"/>
  <c r="O22" i="13" s="1"/>
  <c r="O24" i="13" s="1"/>
  <c r="N3" i="17"/>
  <c r="T20" i="17" s="1"/>
  <c r="T26" i="17" s="1"/>
  <c r="T40" i="17" s="1"/>
  <c r="C18" i="7"/>
  <c r="C14" i="10"/>
  <c r="F4" i="12"/>
  <c r="C22" i="7"/>
  <c r="D18" i="7"/>
  <c r="G4" i="12"/>
  <c r="D22" i="7"/>
  <c r="D14" i="10"/>
  <c r="E18" i="7"/>
  <c r="H4" i="12"/>
  <c r="E22" i="7"/>
  <c r="E14" i="10"/>
  <c r="F22" i="7"/>
  <c r="F14" i="10"/>
  <c r="F18" i="7"/>
  <c r="I4" i="12"/>
  <c r="G14" i="10"/>
  <c r="G22" i="7"/>
  <c r="J4" i="12"/>
  <c r="G18" i="7"/>
  <c r="K4" i="12"/>
  <c r="H18" i="7"/>
  <c r="H22" i="7"/>
  <c r="H14" i="10"/>
  <c r="L4" i="12"/>
  <c r="I18" i="7"/>
  <c r="I22" i="7"/>
  <c r="I14" i="10"/>
  <c r="J22" i="7"/>
  <c r="J14" i="10"/>
  <c r="M4" i="12"/>
  <c r="J18" i="7"/>
  <c r="K18" i="7"/>
  <c r="N4" i="12"/>
  <c r="K22" i="7"/>
  <c r="K14" i="10"/>
  <c r="L18" i="7"/>
  <c r="L14" i="10"/>
  <c r="K5" i="13"/>
  <c r="P5" i="13" s="1"/>
  <c r="O4" i="12"/>
  <c r="L22" i="7"/>
  <c r="N13" i="11"/>
  <c r="N19" i="11"/>
  <c r="N6" i="7"/>
  <c r="O3" i="7"/>
  <c r="U3" i="7" s="1"/>
  <c r="T5" i="7"/>
  <c r="O2" i="10"/>
  <c r="P2" i="7"/>
  <c r="O2" i="11"/>
  <c r="O5" i="7"/>
  <c r="N4" i="17" s="1"/>
  <c r="N31" i="10"/>
  <c r="N41" i="10"/>
  <c r="N42" i="10" s="1"/>
  <c r="M56" i="7" l="1"/>
  <c r="L67" i="17"/>
  <c r="P93" i="7"/>
  <c r="O89" i="17"/>
  <c r="O93" i="7"/>
  <c r="N89" i="17"/>
  <c r="J90" i="17" s="1"/>
  <c r="P87" i="17" s="1"/>
  <c r="M12" i="7"/>
  <c r="L14" i="17"/>
  <c r="C15" i="17" s="1"/>
  <c r="M13" i="17" s="1"/>
  <c r="M11" i="7"/>
  <c r="L10" i="17"/>
  <c r="C11" i="17" s="1"/>
  <c r="M9" i="17" s="1"/>
  <c r="L6" i="17"/>
  <c r="L46" i="17"/>
  <c r="M36" i="7" s="1"/>
  <c r="L47" i="17"/>
  <c r="L70" i="17"/>
  <c r="M57" i="7" s="1"/>
  <c r="M68" i="7" s="1"/>
  <c r="L71" i="17"/>
  <c r="M7" i="7"/>
  <c r="R24" i="17"/>
  <c r="L22" i="17"/>
  <c r="L23" i="17" s="1"/>
  <c r="C24" i="17" s="1"/>
  <c r="S21" i="17" s="1"/>
  <c r="M22" i="17" s="1"/>
  <c r="M23" i="17" s="1"/>
  <c r="L32" i="17"/>
  <c r="C33" i="17" s="1"/>
  <c r="M31" i="17" s="1"/>
  <c r="M21" i="7"/>
  <c r="L51" i="17"/>
  <c r="M37" i="7"/>
  <c r="M71" i="7" s="1"/>
  <c r="M42" i="7"/>
  <c r="M43" i="7" s="1"/>
  <c r="L55" i="17"/>
  <c r="L63" i="17"/>
  <c r="M52" i="7"/>
  <c r="M70" i="7" s="1"/>
  <c r="M19" i="10"/>
  <c r="M67" i="7"/>
  <c r="L75" i="17"/>
  <c r="M51" i="7"/>
  <c r="M81" i="7" s="1"/>
  <c r="L78" i="17"/>
  <c r="L83" i="17"/>
  <c r="U27" i="17"/>
  <c r="U30" i="17" s="1"/>
  <c r="P41" i="7" s="1"/>
  <c r="O41" i="7"/>
  <c r="D24" i="17"/>
  <c r="T21" i="17" s="1"/>
  <c r="N22" i="17" s="1"/>
  <c r="N23" i="17" s="1"/>
  <c r="E24" i="17" s="1"/>
  <c r="O3" i="17"/>
  <c r="U20" i="17" s="1"/>
  <c r="U26" i="17" s="1"/>
  <c r="U40" i="17" s="1"/>
  <c r="C6" i="10"/>
  <c r="C5" i="11"/>
  <c r="C4" i="11"/>
  <c r="C23" i="7"/>
  <c r="C26" i="7"/>
  <c r="B43" i="17" s="1"/>
  <c r="D6" i="10"/>
  <c r="D5" i="11"/>
  <c r="D23" i="7"/>
  <c r="D4" i="11"/>
  <c r="D26" i="7"/>
  <c r="C43" i="17" s="1"/>
  <c r="E6" i="10"/>
  <c r="E5" i="11"/>
  <c r="E26" i="7"/>
  <c r="D43" i="17" s="1"/>
  <c r="E4" i="11"/>
  <c r="E23" i="7"/>
  <c r="F23" i="7"/>
  <c r="F4" i="11"/>
  <c r="F26" i="7"/>
  <c r="E43" i="17" s="1"/>
  <c r="F6" i="10"/>
  <c r="F5" i="11"/>
  <c r="G4" i="11"/>
  <c r="G26" i="7"/>
  <c r="F43" i="17" s="1"/>
  <c r="G23" i="7"/>
  <c r="G5" i="11"/>
  <c r="G6" i="10"/>
  <c r="H5" i="11"/>
  <c r="H6" i="10"/>
  <c r="H4" i="11"/>
  <c r="H26" i="7"/>
  <c r="G43" i="17" s="1"/>
  <c r="H23" i="7"/>
  <c r="I5" i="11"/>
  <c r="I6" i="10"/>
  <c r="I26" i="7"/>
  <c r="H43" i="17" s="1"/>
  <c r="I23" i="7"/>
  <c r="I4" i="11"/>
  <c r="J4" i="11"/>
  <c r="J26" i="7"/>
  <c r="I43" i="17" s="1"/>
  <c r="J23" i="7"/>
  <c r="J5" i="11"/>
  <c r="J6" i="10"/>
  <c r="K6" i="10"/>
  <c r="K5" i="11"/>
  <c r="K26" i="7"/>
  <c r="J43" i="17" s="1"/>
  <c r="K4" i="11"/>
  <c r="K23" i="7"/>
  <c r="L6" i="10"/>
  <c r="L5" i="11"/>
  <c r="P15" i="13"/>
  <c r="P13" i="13"/>
  <c r="P20" i="13" s="1"/>
  <c r="P22" i="13" s="1"/>
  <c r="P24" i="13" s="1"/>
  <c r="P16" i="13"/>
  <c r="P12" i="13"/>
  <c r="P11" i="13"/>
  <c r="P14" i="13"/>
  <c r="C7" i="12"/>
  <c r="L4" i="11"/>
  <c r="L26" i="7"/>
  <c r="K43" i="17" s="1"/>
  <c r="L23" i="7"/>
  <c r="O31" i="10"/>
  <c r="O41" i="10"/>
  <c r="O42" i="10" s="1"/>
  <c r="P5" i="7"/>
  <c r="O4" i="17" s="1"/>
  <c r="P2" i="11"/>
  <c r="P2" i="10"/>
  <c r="Q2" i="7"/>
  <c r="O13" i="11"/>
  <c r="O19" i="11"/>
  <c r="P3" i="7"/>
  <c r="V3" i="7" s="1"/>
  <c r="O6" i="7"/>
  <c r="U5" i="7"/>
  <c r="C68" i="17" l="1"/>
  <c r="M66" i="17" s="1"/>
  <c r="M35" i="10"/>
  <c r="P89" i="17"/>
  <c r="Q93" i="7"/>
  <c r="M14" i="17"/>
  <c r="D15" i="17" s="1"/>
  <c r="N13" i="17" s="1"/>
  <c r="N12" i="7"/>
  <c r="N11" i="7"/>
  <c r="M10" i="17"/>
  <c r="D11" i="17" s="1"/>
  <c r="N9" i="17" s="1"/>
  <c r="C7" i="17"/>
  <c r="M5" i="17" s="1"/>
  <c r="M38" i="7"/>
  <c r="M69" i="7"/>
  <c r="M72" i="7" s="1"/>
  <c r="C48" i="17"/>
  <c r="M36" i="10"/>
  <c r="C72" i="17"/>
  <c r="M34" i="10"/>
  <c r="M20" i="10"/>
  <c r="M18" i="10"/>
  <c r="M8" i="7"/>
  <c r="L17" i="17"/>
  <c r="M49" i="7"/>
  <c r="N21" i="7"/>
  <c r="M32" i="17"/>
  <c r="D33" i="17" s="1"/>
  <c r="N31" i="17" s="1"/>
  <c r="C52" i="17"/>
  <c r="M50" i="17" s="1"/>
  <c r="C56" i="17"/>
  <c r="M54" i="17" s="1"/>
  <c r="C64" i="17"/>
  <c r="M62" i="17" s="1"/>
  <c r="C76" i="17"/>
  <c r="M74" i="17" s="1"/>
  <c r="M82" i="7"/>
  <c r="L79" i="17"/>
  <c r="L84" i="17"/>
  <c r="M83" i="7"/>
  <c r="U21" i="17"/>
  <c r="O22" i="17" s="1"/>
  <c r="O23" i="17" s="1"/>
  <c r="F24" i="17" s="1"/>
  <c r="B44" i="17"/>
  <c r="V27" i="17"/>
  <c r="P3" i="17"/>
  <c r="V20" i="17" s="1"/>
  <c r="V26" i="17" s="1"/>
  <c r="V40" i="17" s="1"/>
  <c r="C3" i="11"/>
  <c r="C20" i="11" s="1"/>
  <c r="C8" i="10"/>
  <c r="C9" i="10"/>
  <c r="C44" i="10" s="1"/>
  <c r="C27" i="7"/>
  <c r="C29" i="10"/>
  <c r="D8" i="10"/>
  <c r="D27" i="7"/>
  <c r="D29" i="10"/>
  <c r="D30" i="10" s="1"/>
  <c r="D9" i="10"/>
  <c r="D44" i="10" s="1"/>
  <c r="D3" i="11"/>
  <c r="D20" i="11" s="1"/>
  <c r="E9" i="10"/>
  <c r="E44" i="10" s="1"/>
  <c r="E3" i="11"/>
  <c r="E20" i="11" s="1"/>
  <c r="E27" i="7"/>
  <c r="E29" i="10"/>
  <c r="E30" i="10" s="1"/>
  <c r="E8" i="10"/>
  <c r="F27" i="7"/>
  <c r="F8" i="10"/>
  <c r="F9" i="10"/>
  <c r="F44" i="10" s="1"/>
  <c r="F3" i="11"/>
  <c r="F20" i="11" s="1"/>
  <c r="F29" i="10"/>
  <c r="F30" i="10" s="1"/>
  <c r="G27" i="7"/>
  <c r="G9" i="10"/>
  <c r="G44" i="10" s="1"/>
  <c r="G3" i="11"/>
  <c r="G20" i="11" s="1"/>
  <c r="G29" i="10"/>
  <c r="G30" i="10" s="1"/>
  <c r="G8" i="10"/>
  <c r="H27" i="7"/>
  <c r="H29" i="10"/>
  <c r="H30" i="10" s="1"/>
  <c r="H8" i="10"/>
  <c r="H9" i="10"/>
  <c r="H44" i="10" s="1"/>
  <c r="H3" i="11"/>
  <c r="H20" i="11" s="1"/>
  <c r="I9" i="10"/>
  <c r="I44" i="10" s="1"/>
  <c r="I3" i="11"/>
  <c r="I20" i="11" s="1"/>
  <c r="I27" i="7"/>
  <c r="I29" i="10"/>
  <c r="I30" i="10" s="1"/>
  <c r="I8" i="10"/>
  <c r="J29" i="10"/>
  <c r="J30" i="10" s="1"/>
  <c r="J3" i="11"/>
  <c r="J20" i="11" s="1"/>
  <c r="J27" i="7"/>
  <c r="J9" i="10"/>
  <c r="J44" i="10" s="1"/>
  <c r="J8" i="10"/>
  <c r="K27" i="7"/>
  <c r="K29" i="10"/>
  <c r="K30" i="10" s="1"/>
  <c r="K9" i="10"/>
  <c r="K44" i="10" s="1"/>
  <c r="K8" i="10"/>
  <c r="K3" i="11"/>
  <c r="K20" i="11" s="1"/>
  <c r="H5" i="12"/>
  <c r="H9" i="12" s="1"/>
  <c r="I5" i="12"/>
  <c r="I9" i="12" s="1"/>
  <c r="K5" i="12"/>
  <c r="K9" i="12" s="1"/>
  <c r="N5" i="12"/>
  <c r="N9" i="12" s="1"/>
  <c r="F5" i="12"/>
  <c r="F9" i="12" s="1"/>
  <c r="G5" i="12"/>
  <c r="G9" i="12" s="1"/>
  <c r="J5" i="12"/>
  <c r="J9" i="12" s="1"/>
  <c r="L5" i="12"/>
  <c r="L9" i="12" s="1"/>
  <c r="M5" i="12"/>
  <c r="M9" i="12" s="1"/>
  <c r="O5" i="12"/>
  <c r="O9" i="12" s="1"/>
  <c r="C11" i="12"/>
  <c r="C16" i="12" s="1"/>
  <c r="G12" i="12" s="1"/>
  <c r="L9" i="14"/>
  <c r="L9" i="10"/>
  <c r="L44" i="10" s="1"/>
  <c r="L29" i="10"/>
  <c r="L30" i="10" s="1"/>
  <c r="L27" i="7"/>
  <c r="L3" i="11"/>
  <c r="L20" i="11" s="1"/>
  <c r="L8" i="10"/>
  <c r="L5" i="13"/>
  <c r="Q3" i="7"/>
  <c r="P6" i="7"/>
  <c r="V5" i="7"/>
  <c r="P13" i="11"/>
  <c r="P19" i="11"/>
  <c r="P41" i="10"/>
  <c r="P42" i="10" s="1"/>
  <c r="P31" i="10"/>
  <c r="Q5" i="7"/>
  <c r="P4" i="17" s="1"/>
  <c r="Q2" i="11"/>
  <c r="Q2" i="10"/>
  <c r="M67" i="17" l="1"/>
  <c r="N56" i="7"/>
  <c r="M6" i="17"/>
  <c r="D7" i="17" s="1"/>
  <c r="N5" i="17" s="1"/>
  <c r="N7" i="7"/>
  <c r="M46" i="17"/>
  <c r="M70" i="17"/>
  <c r="M13" i="7"/>
  <c r="M9" i="7"/>
  <c r="M4" i="10" s="1"/>
  <c r="S22" i="17"/>
  <c r="L19" i="17"/>
  <c r="C20" i="17" s="1"/>
  <c r="M18" i="17" s="1"/>
  <c r="L58" i="17"/>
  <c r="N37" i="7"/>
  <c r="N71" i="7" s="1"/>
  <c r="M51" i="17"/>
  <c r="M55" i="17"/>
  <c r="N42" i="7"/>
  <c r="N43" i="7" s="1"/>
  <c r="M63" i="17"/>
  <c r="N52" i="7"/>
  <c r="N70" i="7" s="1"/>
  <c r="M75" i="17"/>
  <c r="N51" i="7"/>
  <c r="N80" i="7" s="1"/>
  <c r="N81" i="7" s="1"/>
  <c r="C80" i="17"/>
  <c r="M78" i="17" s="1"/>
  <c r="C85" i="17"/>
  <c r="M83" i="17" s="1"/>
  <c r="N14" i="17"/>
  <c r="E15" i="17" s="1"/>
  <c r="O13" i="17" s="1"/>
  <c r="O12" i="7"/>
  <c r="O11" i="7"/>
  <c r="N10" i="17"/>
  <c r="E11" i="17" s="1"/>
  <c r="O9" i="17" s="1"/>
  <c r="O21" i="7"/>
  <c r="N32" i="17"/>
  <c r="V21" i="17"/>
  <c r="P22" i="17" s="1"/>
  <c r="P23" i="17" s="1"/>
  <c r="V30" i="17"/>
  <c r="Q41" i="7" s="1"/>
  <c r="P12" i="7"/>
  <c r="O14" i="17"/>
  <c r="F15" i="17" s="1"/>
  <c r="P13" i="17" s="1"/>
  <c r="E33" i="17"/>
  <c r="O31" i="17" s="1"/>
  <c r="O10" i="17"/>
  <c r="F11" i="17" s="1"/>
  <c r="P9" i="17" s="1"/>
  <c r="P11" i="7"/>
  <c r="P29" i="10"/>
  <c r="C6" i="11"/>
  <c r="C14" i="11" s="1"/>
  <c r="C7" i="10"/>
  <c r="O29" i="10"/>
  <c r="N29" i="10"/>
  <c r="M29" i="10"/>
  <c r="C30" i="10"/>
  <c r="Q30" i="10" s="1"/>
  <c r="D7" i="10"/>
  <c r="D6" i="11"/>
  <c r="D14" i="11" s="1"/>
  <c r="E7" i="10"/>
  <c r="E6" i="11"/>
  <c r="E14" i="11" s="1"/>
  <c r="F6" i="11"/>
  <c r="F14" i="11" s="1"/>
  <c r="F7" i="10"/>
  <c r="G7" i="10"/>
  <c r="G6" i="11"/>
  <c r="G14" i="11" s="1"/>
  <c r="H7" i="10"/>
  <c r="H6" i="11"/>
  <c r="H14" i="11" s="1"/>
  <c r="I7" i="10"/>
  <c r="I6" i="11"/>
  <c r="I14" i="11" s="1"/>
  <c r="J6" i="11"/>
  <c r="J14" i="11" s="1"/>
  <c r="J7" i="10"/>
  <c r="K7" i="10"/>
  <c r="K6" i="11"/>
  <c r="K14" i="11" s="1"/>
  <c r="G13" i="12"/>
  <c r="G15" i="12"/>
  <c r="G16" i="12" s="1"/>
  <c r="P15" i="12"/>
  <c r="P16" i="12" s="1"/>
  <c r="O15" i="12"/>
  <c r="O16" i="12" s="1"/>
  <c r="N15" i="12"/>
  <c r="N16" i="12" s="1"/>
  <c r="M15" i="12"/>
  <c r="M16" i="12" s="1"/>
  <c r="L15" i="12"/>
  <c r="L16" i="12" s="1"/>
  <c r="K15" i="12"/>
  <c r="K16" i="12" s="1"/>
  <c r="J15" i="12"/>
  <c r="J16" i="12" s="1"/>
  <c r="I15" i="12"/>
  <c r="I16" i="12" s="1"/>
  <c r="H15" i="12"/>
  <c r="H16" i="12" s="1"/>
  <c r="L7" i="10"/>
  <c r="L6" i="11"/>
  <c r="L14" i="11" s="1"/>
  <c r="Q5" i="13"/>
  <c r="R3" i="7"/>
  <c r="W3" i="7"/>
  <c r="Q6" i="7"/>
  <c r="R5" i="7"/>
  <c r="W5" i="7"/>
  <c r="Q13" i="11"/>
  <c r="Q19" i="11"/>
  <c r="Q41" i="10"/>
  <c r="Q42" i="10" s="1"/>
  <c r="Q31" i="10"/>
  <c r="Q29" i="10"/>
  <c r="D68" i="17" l="1"/>
  <c r="N66" i="17" s="1"/>
  <c r="N35" i="10"/>
  <c r="N67" i="7"/>
  <c r="N19" i="10"/>
  <c r="O7" i="7"/>
  <c r="N8" i="7"/>
  <c r="N36" i="7"/>
  <c r="N20" i="10" s="1"/>
  <c r="M47" i="17"/>
  <c r="N57" i="7"/>
  <c r="N18" i="10" s="1"/>
  <c r="M71" i="17"/>
  <c r="M14" i="7"/>
  <c r="M5" i="10" s="1"/>
  <c r="M17" i="7"/>
  <c r="N16" i="7"/>
  <c r="S23" i="17"/>
  <c r="S24" i="17" s="1"/>
  <c r="M50" i="7"/>
  <c r="M78" i="7" s="1"/>
  <c r="L59" i="17"/>
  <c r="D52" i="17"/>
  <c r="N50" i="17" s="1"/>
  <c r="D56" i="17"/>
  <c r="N54" i="17" s="1"/>
  <c r="D64" i="17"/>
  <c r="N62" i="17" s="1"/>
  <c r="N67" i="17"/>
  <c r="O56" i="7"/>
  <c r="D76" i="17"/>
  <c r="N74" i="17" s="1"/>
  <c r="N83" i="7"/>
  <c r="M84" i="17"/>
  <c r="N82" i="7"/>
  <c r="M79" i="17"/>
  <c r="Q12" i="7"/>
  <c r="P14" i="17"/>
  <c r="P21" i="7"/>
  <c r="O32" i="17"/>
  <c r="F33" i="17" s="1"/>
  <c r="P31" i="17" s="1"/>
  <c r="P10" i="17"/>
  <c r="Q11" i="7"/>
  <c r="P30" i="10"/>
  <c r="O30" i="10"/>
  <c r="N30" i="10"/>
  <c r="M30" i="10"/>
  <c r="Q14" i="13"/>
  <c r="Q11" i="13"/>
  <c r="Q12" i="13"/>
  <c r="Q15" i="13"/>
  <c r="Q16" i="13"/>
  <c r="Q13" i="13"/>
  <c r="Q20" i="13" s="1"/>
  <c r="Q22" i="13" s="1"/>
  <c r="Q24" i="13" s="1"/>
  <c r="G17" i="12"/>
  <c r="G19" i="12" s="1"/>
  <c r="G21" i="12" s="1"/>
  <c r="G24" i="12" s="1"/>
  <c r="O8" i="7" l="1"/>
  <c r="N13" i="7"/>
  <c r="N14" i="7" s="1"/>
  <c r="N5" i="10" s="1"/>
  <c r="N9" i="7"/>
  <c r="N4" i="10" s="1"/>
  <c r="N38" i="7"/>
  <c r="N69" i="7"/>
  <c r="D48" i="17"/>
  <c r="N46" i="17" s="1"/>
  <c r="N36" i="10"/>
  <c r="N68" i="7"/>
  <c r="N72" i="7" s="1"/>
  <c r="D72" i="17"/>
  <c r="N70" i="17" s="1"/>
  <c r="N34" i="10"/>
  <c r="M18" i="7"/>
  <c r="M66" i="7"/>
  <c r="L36" i="17"/>
  <c r="L37" i="17" s="1"/>
  <c r="M17" i="17"/>
  <c r="N49" i="7"/>
  <c r="C60" i="17"/>
  <c r="N51" i="17"/>
  <c r="E52" i="17" s="1"/>
  <c r="O50" i="17" s="1"/>
  <c r="O37" i="7"/>
  <c r="O71" i="7" s="1"/>
  <c r="O42" i="7"/>
  <c r="O43" i="7" s="1"/>
  <c r="N55" i="17"/>
  <c r="E56" i="17" s="1"/>
  <c r="O54" i="17" s="1"/>
  <c r="N63" i="17"/>
  <c r="E64" i="17" s="1"/>
  <c r="O62" i="17" s="1"/>
  <c r="P52" i="7" s="1"/>
  <c r="P70" i="7" s="1"/>
  <c r="O52" i="7"/>
  <c r="O70" i="7" s="1"/>
  <c r="O63" i="17"/>
  <c r="F64" i="17" s="1"/>
  <c r="P62" i="17" s="1"/>
  <c r="E68" i="17"/>
  <c r="O66" i="17" s="1"/>
  <c r="O35" i="10"/>
  <c r="O19" i="10"/>
  <c r="O67" i="7"/>
  <c r="N75" i="17"/>
  <c r="E76" i="17" s="1"/>
  <c r="O74" i="17" s="1"/>
  <c r="O51" i="7"/>
  <c r="O80" i="7" s="1"/>
  <c r="O81" i="7" s="1"/>
  <c r="D85" i="17"/>
  <c r="N83" i="17" s="1"/>
  <c r="D80" i="17"/>
  <c r="N78" i="17" s="1"/>
  <c r="Q21" i="7"/>
  <c r="P32" i="17"/>
  <c r="O13" i="7" l="1"/>
  <c r="O14" i="7" s="1"/>
  <c r="O5" i="10" s="1"/>
  <c r="O9" i="7"/>
  <c r="O4" i="10" s="1"/>
  <c r="N47" i="17"/>
  <c r="O36" i="7"/>
  <c r="N71" i="17"/>
  <c r="O57" i="7"/>
  <c r="M5" i="11"/>
  <c r="M6" i="10"/>
  <c r="M25" i="7"/>
  <c r="M73" i="7" s="1"/>
  <c r="M75" i="7" s="1"/>
  <c r="L38" i="17"/>
  <c r="C39" i="17" s="1"/>
  <c r="T22" i="17"/>
  <c r="M19" i="17"/>
  <c r="D20" i="17" s="1"/>
  <c r="N18" i="17" s="1"/>
  <c r="O16" i="7" s="1"/>
  <c r="M58" i="17"/>
  <c r="P37" i="7"/>
  <c r="P71" i="7" s="1"/>
  <c r="O51" i="17"/>
  <c r="F52" i="17" s="1"/>
  <c r="P50" i="17" s="1"/>
  <c r="P63" i="17"/>
  <c r="Q52" i="7"/>
  <c r="Q70" i="7" s="1"/>
  <c r="O67" i="17"/>
  <c r="P56" i="7"/>
  <c r="P51" i="7"/>
  <c r="P80" i="7" s="1"/>
  <c r="P81" i="7" s="1"/>
  <c r="O75" i="17"/>
  <c r="F76" i="17" s="1"/>
  <c r="P74" i="17" s="1"/>
  <c r="N84" i="17"/>
  <c r="O83" i="7"/>
  <c r="O82" i="7"/>
  <c r="N79" i="17"/>
  <c r="N38" i="10"/>
  <c r="P42" i="7"/>
  <c r="P43" i="7" s="1"/>
  <c r="O55" i="17"/>
  <c r="F56" i="17" s="1"/>
  <c r="P54" i="17" s="1"/>
  <c r="M53" i="7"/>
  <c r="E48" i="17" l="1"/>
  <c r="O36" i="10"/>
  <c r="O20" i="10"/>
  <c r="O38" i="7"/>
  <c r="O69" i="7"/>
  <c r="E72" i="17"/>
  <c r="O34" i="10"/>
  <c r="O18" i="10"/>
  <c r="O68" i="7"/>
  <c r="O72" i="7" s="1"/>
  <c r="N50" i="7"/>
  <c r="N78" i="7" s="1"/>
  <c r="N89" i="7" s="1"/>
  <c r="M59" i="17"/>
  <c r="Q37" i="7"/>
  <c r="Q71" i="7" s="1"/>
  <c r="P51" i="17"/>
  <c r="F68" i="17"/>
  <c r="P66" i="17" s="1"/>
  <c r="P35" i="10"/>
  <c r="P67" i="7"/>
  <c r="P19" i="10"/>
  <c r="P75" i="17"/>
  <c r="Q51" i="7"/>
  <c r="Q80" i="7" s="1"/>
  <c r="Q81" i="7" s="1"/>
  <c r="E85" i="17"/>
  <c r="O83" i="17" s="1"/>
  <c r="E80" i="17"/>
  <c r="O78" i="17" s="1"/>
  <c r="Q42" i="7"/>
  <c r="Q43" i="7" s="1"/>
  <c r="P55" i="17"/>
  <c r="M21" i="10"/>
  <c r="D60" i="17" l="1"/>
  <c r="P67" i="17"/>
  <c r="Q35" i="10" s="1"/>
  <c r="Q56" i="7"/>
  <c r="P83" i="7"/>
  <c r="O84" i="17"/>
  <c r="F85" i="17" s="1"/>
  <c r="P83" i="17" s="1"/>
  <c r="P82" i="7"/>
  <c r="O38" i="10"/>
  <c r="N17" i="7"/>
  <c r="Q19" i="10" l="1"/>
  <c r="Q67" i="7"/>
  <c r="P84" i="17"/>
  <c r="Q83" i="7"/>
  <c r="M36" i="17"/>
  <c r="M37" i="17" s="1"/>
  <c r="N66" i="7"/>
  <c r="N18" i="7"/>
  <c r="M38" i="17" l="1"/>
  <c r="D39" i="17" s="1"/>
  <c r="N25" i="7"/>
  <c r="N73" i="7" s="1"/>
  <c r="N75" i="7" s="1"/>
  <c r="N6" i="10"/>
  <c r="N5" i="11"/>
  <c r="N53" i="7"/>
  <c r="N21" i="10"/>
  <c r="O17" i="7" l="1"/>
  <c r="N36" i="17" l="1"/>
  <c r="N37" i="17" s="1"/>
  <c r="O66" i="7"/>
  <c r="N38" i="17"/>
  <c r="E39" i="17" s="1"/>
  <c r="O25" i="7"/>
  <c r="O73" i="7" s="1"/>
  <c r="O75" i="7" s="1"/>
  <c r="O18" i="7"/>
  <c r="O5" i="11" l="1"/>
  <c r="O6" i="10"/>
  <c r="N6" i="17" l="1"/>
  <c r="E7" i="17" s="1"/>
  <c r="O5" i="17" s="1"/>
  <c r="O46" i="17" l="1"/>
  <c r="O70" i="17"/>
  <c r="O6" i="17"/>
  <c r="F7" i="17" s="1"/>
  <c r="P5" i="17" s="1"/>
  <c r="P7" i="7"/>
  <c r="P36" i="7" l="1"/>
  <c r="P20" i="10" s="1"/>
  <c r="O47" i="17"/>
  <c r="O79" i="17"/>
  <c r="F80" i="17" s="1"/>
  <c r="P78" i="17" s="1"/>
  <c r="P57" i="7"/>
  <c r="P18" i="10" s="1"/>
  <c r="O71" i="17"/>
  <c r="P6" i="17"/>
  <c r="Q7" i="7"/>
  <c r="P8" i="7"/>
  <c r="P38" i="7" l="1"/>
  <c r="P69" i="7"/>
  <c r="F48" i="17"/>
  <c r="P46" i="17" s="1"/>
  <c r="P36" i="10"/>
  <c r="Q82" i="7"/>
  <c r="P68" i="7"/>
  <c r="P72" i="7" s="1"/>
  <c r="F72" i="17"/>
  <c r="P70" i="17" s="1"/>
  <c r="P79" i="17" s="1"/>
  <c r="P34" i="10"/>
  <c r="P38" i="10" s="1"/>
  <c r="Q8" i="7"/>
  <c r="P13" i="7"/>
  <c r="P9" i="7"/>
  <c r="P4" i="10" s="1"/>
  <c r="Q36" i="7" l="1"/>
  <c r="P47" i="17"/>
  <c r="Q36" i="10" s="1"/>
  <c r="P71" i="17"/>
  <c r="Q34" i="10" s="1"/>
  <c r="Q57" i="7"/>
  <c r="Q38" i="10"/>
  <c r="Q13" i="7"/>
  <c r="Q9" i="7"/>
  <c r="Q4" i="10" s="1"/>
  <c r="P14" i="7"/>
  <c r="P5" i="10" s="1"/>
  <c r="Q20" i="10" l="1"/>
  <c r="Q38" i="7"/>
  <c r="Q69" i="7"/>
  <c r="Q18" i="10"/>
  <c r="Q68" i="7"/>
  <c r="Q72" i="7" s="1"/>
  <c r="Q14" i="7"/>
  <c r="Q5" i="10" s="1"/>
  <c r="T23" i="17" l="1"/>
  <c r="T24" i="17" s="1"/>
  <c r="N17" i="17" l="1"/>
  <c r="N58" i="17" s="1"/>
  <c r="O49" i="7"/>
  <c r="N59" i="17" l="1"/>
  <c r="E60" i="17" s="1"/>
  <c r="O50" i="7"/>
  <c r="N19" i="17"/>
  <c r="E20" i="17" s="1"/>
  <c r="O18" i="17" s="1"/>
  <c r="U22" i="17"/>
  <c r="O21" i="10"/>
  <c r="O78" i="7" l="1"/>
  <c r="O89" i="7" s="1"/>
  <c r="O53" i="7"/>
  <c r="U23" i="17"/>
  <c r="U24" i="17" s="1"/>
  <c r="P16" i="7"/>
  <c r="P17" i="7" s="1"/>
  <c r="P66" i="7" s="1"/>
  <c r="P49" i="7" l="1"/>
  <c r="O17" i="17"/>
  <c r="O58" i="17" s="1"/>
  <c r="P18" i="7"/>
  <c r="O36" i="17"/>
  <c r="O37" i="17" s="1"/>
  <c r="O59" i="17" l="1"/>
  <c r="F60" i="17" s="1"/>
  <c r="P50" i="7"/>
  <c r="P21" i="10"/>
  <c r="O19" i="17"/>
  <c r="F20" i="17" s="1"/>
  <c r="P18" i="17" s="1"/>
  <c r="V22" i="17"/>
  <c r="P5" i="11"/>
  <c r="P6" i="10"/>
  <c r="P25" i="7"/>
  <c r="P73" i="7" s="1"/>
  <c r="P75" i="7" s="1"/>
  <c r="O38" i="17"/>
  <c r="F39" i="17" s="1"/>
  <c r="P78" i="7" l="1"/>
  <c r="P89" i="7" s="1"/>
  <c r="P53" i="7"/>
  <c r="V23" i="17"/>
  <c r="V24" i="17" s="1"/>
  <c r="Q16" i="7"/>
  <c r="Q17" i="7" s="1"/>
  <c r="Q66" i="7" s="1"/>
  <c r="Q49" i="7" l="1"/>
  <c r="P17" i="17"/>
  <c r="Q18" i="7"/>
  <c r="P36" i="17"/>
  <c r="P37" i="17" s="1"/>
  <c r="P19" i="17" l="1"/>
  <c r="P58" i="17"/>
  <c r="Q21" i="10"/>
  <c r="Q6" i="10"/>
  <c r="Q5" i="11"/>
  <c r="P38" i="17"/>
  <c r="Q25" i="7"/>
  <c r="Q73" i="7" s="1"/>
  <c r="Q75" i="7" s="1"/>
  <c r="Q50" i="7" l="1"/>
  <c r="P59" i="17"/>
  <c r="Q53" i="7" l="1"/>
  <c r="Q78" i="7"/>
  <c r="Q89" i="7" s="1"/>
  <c r="F29" i="17"/>
  <c r="R31" i="17" s="1"/>
  <c r="M20" i="7" s="1"/>
  <c r="L27" i="17" l="1"/>
  <c r="L28" i="17" s="1"/>
  <c r="G29" i="17" l="1"/>
  <c r="S31" i="17" s="1"/>
  <c r="M22" i="7"/>
  <c r="M14" i="10"/>
  <c r="M27" i="17" l="1"/>
  <c r="M28" i="17" s="1"/>
  <c r="N20" i="7"/>
  <c r="M26" i="7"/>
  <c r="R42" i="17" s="1"/>
  <c r="M4" i="11"/>
  <c r="M23" i="7"/>
  <c r="R43" i="17" l="1"/>
  <c r="H29" i="17"/>
  <c r="T31" i="17" s="1"/>
  <c r="N14" i="10"/>
  <c r="N22" i="7"/>
  <c r="M3" i="11"/>
  <c r="M27" i="7"/>
  <c r="R44" i="17" l="1"/>
  <c r="L42" i="17"/>
  <c r="O20" i="7"/>
  <c r="N27" i="17"/>
  <c r="N28" i="17" s="1"/>
  <c r="N23" i="7"/>
  <c r="N26" i="7"/>
  <c r="N4" i="11"/>
  <c r="M7" i="10"/>
  <c r="M6" i="11"/>
  <c r="M32" i="7" l="1"/>
  <c r="S41" i="17"/>
  <c r="L43" i="17"/>
  <c r="M94" i="7"/>
  <c r="M97" i="7" s="1"/>
  <c r="S42" i="17"/>
  <c r="O14" i="10"/>
  <c r="O22" i="7"/>
  <c r="I29" i="17"/>
  <c r="U31" i="17" s="1"/>
  <c r="N27" i="7"/>
  <c r="N3" i="11"/>
  <c r="M45" i="7" l="1"/>
  <c r="M12" i="10"/>
  <c r="M9" i="10"/>
  <c r="M44" i="10" s="1"/>
  <c r="C44" i="17"/>
  <c r="S43" i="17" s="1"/>
  <c r="O4" i="11"/>
  <c r="O23" i="7"/>
  <c r="O26" i="7"/>
  <c r="P20" i="7"/>
  <c r="O27" i="17"/>
  <c r="O28" i="17" s="1"/>
  <c r="J29" i="17" s="1"/>
  <c r="V31" i="17" s="1"/>
  <c r="N6" i="11"/>
  <c r="N7" i="10"/>
  <c r="S44" i="17" l="1"/>
  <c r="M42" i="17"/>
  <c r="T42" i="17"/>
  <c r="P27" i="17"/>
  <c r="P28" i="17" s="1"/>
  <c r="Q20" i="7"/>
  <c r="O27" i="7"/>
  <c r="O3" i="11"/>
  <c r="P14" i="10"/>
  <c r="P22" i="7"/>
  <c r="N32" i="7" l="1"/>
  <c r="T41" i="17"/>
  <c r="M43" i="17"/>
  <c r="N94" i="7"/>
  <c r="N97" i="7" s="1"/>
  <c r="N99" i="7" s="1"/>
  <c r="Q22" i="7"/>
  <c r="Q14" i="10"/>
  <c r="O7" i="10"/>
  <c r="O6" i="11"/>
  <c r="P4" i="11"/>
  <c r="P23" i="7"/>
  <c r="P26" i="7"/>
  <c r="Q26" i="7" l="1"/>
  <c r="Q4" i="11"/>
  <c r="Q23" i="7"/>
  <c r="N9" i="10"/>
  <c r="N44" i="10" s="1"/>
  <c r="N12" i="10"/>
  <c r="N45" i="7"/>
  <c r="D44" i="17"/>
  <c r="T43" i="17" s="1"/>
  <c r="U42" i="17"/>
  <c r="P3" i="11"/>
  <c r="P27" i="7"/>
  <c r="V42" i="17" l="1"/>
  <c r="Q3" i="11"/>
  <c r="Q27" i="7"/>
  <c r="T44" i="17"/>
  <c r="N42" i="17"/>
  <c r="P7" i="10"/>
  <c r="P6" i="11"/>
  <c r="M38" i="10"/>
  <c r="Q7" i="10" l="1"/>
  <c r="Q6" i="11"/>
  <c r="U41" i="17"/>
  <c r="O32" i="7"/>
  <c r="N43" i="17"/>
  <c r="O94" i="7"/>
  <c r="O97" i="7" s="1"/>
  <c r="O99" i="7" s="1"/>
  <c r="O12" i="10" l="1"/>
  <c r="O45" i="7"/>
  <c r="O9" i="10"/>
  <c r="O44" i="10" s="1"/>
  <c r="E44" i="17"/>
  <c r="U43" i="17" s="1"/>
  <c r="U44" i="17" l="1"/>
  <c r="O42" i="17"/>
  <c r="V41" i="17" l="1"/>
  <c r="P32" i="7"/>
  <c r="O43" i="17"/>
  <c r="F44" i="17" s="1"/>
  <c r="V43" i="17" s="1"/>
  <c r="P42" i="17" s="1"/>
  <c r="P94" i="7"/>
  <c r="P97" i="7" s="1"/>
  <c r="P99" i="7" s="1"/>
  <c r="P12" i="10" l="1"/>
  <c r="P9" i="10"/>
  <c r="P44" i="10" s="1"/>
  <c r="P45" i="7"/>
  <c r="P43" i="17"/>
  <c r="Q94" i="7"/>
  <c r="Q97" i="7" s="1"/>
  <c r="Q99" i="7" s="1"/>
  <c r="V44" i="17"/>
  <c r="Q32" i="7" s="1"/>
  <c r="Q45" i="7" l="1"/>
  <c r="Q12" i="10"/>
  <c r="Q9" i="10"/>
  <c r="Q44" i="10" s="1"/>
  <c r="M89" i="7" l="1"/>
  <c r="M99" i="7" s="1"/>
  <c r="M58" i="7" s="1"/>
  <c r="M26" i="10" l="1"/>
  <c r="M59" i="7"/>
  <c r="N58" i="7"/>
  <c r="M61" i="7" l="1"/>
  <c r="M24" i="10"/>
  <c r="M25" i="10"/>
  <c r="N59" i="7"/>
  <c r="N26" i="10"/>
  <c r="O58" i="7"/>
  <c r="M8" i="11" l="1"/>
  <c r="M8" i="10"/>
  <c r="M7" i="11"/>
  <c r="M13" i="10"/>
  <c r="M17" i="10"/>
  <c r="N61" i="7"/>
  <c r="N24" i="10"/>
  <c r="N25" i="10"/>
  <c r="O26" i="10"/>
  <c r="O59" i="7"/>
  <c r="P58" i="7"/>
  <c r="M20" i="11" l="1"/>
  <c r="M14" i="11"/>
  <c r="N8" i="11"/>
  <c r="N8" i="10"/>
  <c r="N17" i="10"/>
  <c r="N13" i="10"/>
  <c r="N7" i="11"/>
  <c r="O61" i="7"/>
  <c r="O25" i="10"/>
  <c r="O24" i="10"/>
  <c r="P59" i="7"/>
  <c r="P26" i="10"/>
  <c r="Q58" i="7"/>
  <c r="N20" i="11" l="1"/>
  <c r="N14" i="11"/>
  <c r="O8" i="11"/>
  <c r="O8" i="10"/>
  <c r="O17" i="10"/>
  <c r="O13" i="10"/>
  <c r="O7" i="11"/>
  <c r="P61" i="7"/>
  <c r="P24" i="10"/>
  <c r="P25" i="10"/>
  <c r="Q59" i="7"/>
  <c r="Q26" i="10"/>
  <c r="O20" i="11" l="1"/>
  <c r="O14" i="11"/>
  <c r="P8" i="11"/>
  <c r="P8" i="10"/>
  <c r="P17" i="10"/>
  <c r="P7" i="11"/>
  <c r="P13" i="10"/>
  <c r="Q61" i="7"/>
  <c r="Q24" i="10"/>
  <c r="Q25" i="10"/>
  <c r="P20" i="11" l="1"/>
  <c r="P14" i="11"/>
  <c r="Q8" i="11"/>
  <c r="Q8" i="10"/>
  <c r="Q13" i="10"/>
  <c r="Q7" i="11"/>
  <c r="Q17" i="10"/>
  <c r="Q20" i="11" l="1"/>
  <c r="Q14" i="11"/>
</calcChain>
</file>

<file path=xl/sharedStrings.xml><?xml version="1.0" encoding="utf-8"?>
<sst xmlns="http://schemas.openxmlformats.org/spreadsheetml/2006/main" count="295" uniqueCount="234">
  <si>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</si>
  <si>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</si>
  <si>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</si>
  <si>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</si>
  <si>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</si>
  <si>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</si>
  <si>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</si>
  <si>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</si>
  <si>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</si>
  <si>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</si>
  <si>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</si>
  <si>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</si>
  <si>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</si>
  <si>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</si>
  <si>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</si>
  <si>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</si>
  <si>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</si>
  <si>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</si>
  <si>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</si>
  <si>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</si>
  <si>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</si>
  <si>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</si>
  <si>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</si>
  <si>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</si>
  <si>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</si>
  <si>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</si>
  <si>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</si>
  <si>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</si>
  <si>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</si>
  <si>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</si>
  <si>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</si>
  <si>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</si>
  <si>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</si>
  <si>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</si>
  <si>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</si>
  <si>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</si>
  <si>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</si>
  <si>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</si>
  <si>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</si>
  <si>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</si>
  <si>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</si>
  <si>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</si>
  <si>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</si>
  <si>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</si>
  <si>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</si>
  <si>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</si>
  <si>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</si>
  <si>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</si>
  <si>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</si>
  <si>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</si>
  <si>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</si>
  <si>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</si>
  <si>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</si>
  <si>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</si>
  <si>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#</t>
  </si>
  <si>
    <t>Sales Growth In %</t>
  </si>
  <si>
    <t>Current Liabilities</t>
  </si>
  <si>
    <t>Trade Payables</t>
  </si>
  <si>
    <t>Advance from Customers</t>
  </si>
  <si>
    <t>Total Current Liabilities</t>
  </si>
  <si>
    <t>Total Non-Current Assests</t>
  </si>
  <si>
    <t>Assets</t>
  </si>
  <si>
    <t xml:space="preserve"> Liabilities</t>
  </si>
  <si>
    <t>Non-Current Assets</t>
  </si>
  <si>
    <t>Current Assets</t>
  </si>
  <si>
    <t>Total Current Assets</t>
  </si>
  <si>
    <t>Total Assets</t>
  </si>
  <si>
    <t>Total Liabilities</t>
  </si>
  <si>
    <t>Cash-Flow from Financing Activity</t>
  </si>
  <si>
    <t>Other financing items</t>
  </si>
  <si>
    <t>Financial liabilities</t>
  </si>
  <si>
    <t>Dividends paid</t>
  </si>
  <si>
    <t>Interest paid fin</t>
  </si>
  <si>
    <t>Proceeds from shares</t>
  </si>
  <si>
    <t>Cash from Financing Activity </t>
  </si>
  <si>
    <t>Cash-Flow from Investing Activity</t>
  </si>
  <si>
    <t>Other investing items</t>
  </si>
  <si>
    <t>Acquisition of companies</t>
  </si>
  <si>
    <t>Redemp n Canc of Shares</t>
  </si>
  <si>
    <t>Loans to subsidiaries</t>
  </si>
  <si>
    <t>Invest in subsidiaries</t>
  </si>
  <si>
    <t>Dividends received</t>
  </si>
  <si>
    <t>Interest received</t>
  </si>
  <si>
    <t>Investments sold</t>
  </si>
  <si>
    <t>Investments purchased</t>
  </si>
  <si>
    <t>Fixed assets sold</t>
  </si>
  <si>
    <t>Fixed assets purchased</t>
  </si>
  <si>
    <t>Cash from Investing Activity </t>
  </si>
  <si>
    <t>Cash-Flow from Operating Activity</t>
  </si>
  <si>
    <t>Other operating items</t>
  </si>
  <si>
    <t>Direct taxes</t>
  </si>
  <si>
    <t>Working capital changes</t>
  </si>
  <si>
    <t>Other WC items</t>
  </si>
  <si>
    <t>Loans Advances</t>
  </si>
  <si>
    <t>Payables</t>
  </si>
  <si>
    <t>Profit from operations</t>
  </si>
  <si>
    <t>Cash from Operating Activity </t>
  </si>
  <si>
    <t>Cash-Flows</t>
  </si>
  <si>
    <t>Net Profit Margin</t>
  </si>
  <si>
    <t>Assets Turnover Ratio</t>
  </si>
  <si>
    <t>Equity Multiplier</t>
  </si>
  <si>
    <t>Return On Equity</t>
  </si>
  <si>
    <t>Tax Burden</t>
  </si>
  <si>
    <t>Interest Burden</t>
  </si>
  <si>
    <t>Operating Margin</t>
  </si>
  <si>
    <t>Income Statement(in CR)</t>
  </si>
  <si>
    <t>Balance Sheet(in CR)</t>
  </si>
  <si>
    <t>DuPont 3 Step Model</t>
  </si>
  <si>
    <t>Rerurn On Equity</t>
  </si>
  <si>
    <t>DuPont 5 Step Model</t>
  </si>
  <si>
    <t>Market Ratios</t>
  </si>
  <si>
    <t>Liquidity Ratios</t>
  </si>
  <si>
    <t>Efficency Ratios</t>
  </si>
  <si>
    <t>Solvency Ratios</t>
  </si>
  <si>
    <t>Profitability Ratios</t>
  </si>
  <si>
    <t>Gross Profit Margin</t>
  </si>
  <si>
    <t>EBITDA Margin</t>
  </si>
  <si>
    <t>EBIT Margin</t>
  </si>
  <si>
    <t>Return On Assests</t>
  </si>
  <si>
    <t>D/E Ratio</t>
  </si>
  <si>
    <t>Debt Ratio</t>
  </si>
  <si>
    <t>Interest Coverage Ratio</t>
  </si>
  <si>
    <t>Inventory Turnover Ratio</t>
  </si>
  <si>
    <t>Receivable Turnover Ratio</t>
  </si>
  <si>
    <t>Payable Turnover Ratio</t>
  </si>
  <si>
    <t>Fixed Assets Turnover Ratio</t>
  </si>
  <si>
    <t>Current Ratio</t>
  </si>
  <si>
    <t>Quick Ratio</t>
  </si>
  <si>
    <t>Cash Ratio</t>
  </si>
  <si>
    <t>Eairning Per Share</t>
  </si>
  <si>
    <t>P/E Ratio</t>
  </si>
  <si>
    <t>Book Value Per Share</t>
  </si>
  <si>
    <t>Inventory Days</t>
  </si>
  <si>
    <t>Receivable Days</t>
  </si>
  <si>
    <t>Payable Days</t>
  </si>
  <si>
    <t>Cash Conversion Days</t>
  </si>
  <si>
    <t>Operating Cycle Ratios (in Days)</t>
  </si>
  <si>
    <t>Cost of Debt</t>
  </si>
  <si>
    <t>Cost of Equity</t>
  </si>
  <si>
    <t>Beta(L)</t>
  </si>
  <si>
    <t>Equity</t>
  </si>
  <si>
    <t xml:space="preserve">Debt </t>
  </si>
  <si>
    <t>Fixed Market Return</t>
  </si>
  <si>
    <t>Expected Market Return</t>
  </si>
  <si>
    <t>Date</t>
  </si>
  <si>
    <t>Price</t>
  </si>
  <si>
    <t>Return</t>
  </si>
  <si>
    <t>NIFTY-50</t>
  </si>
  <si>
    <t>BETA(L) Calculation</t>
  </si>
  <si>
    <t>Correlation between HUL &amp; NIFTY-50</t>
  </si>
  <si>
    <t>Standard Deviation of HUL</t>
  </si>
  <si>
    <t>Standard Deviation of Nifty-50</t>
  </si>
  <si>
    <t>BETA(L)</t>
  </si>
  <si>
    <t>BETA(UL)</t>
  </si>
  <si>
    <t>Time Period</t>
  </si>
  <si>
    <t xml:space="preserve"> </t>
  </si>
  <si>
    <t>WACC</t>
  </si>
  <si>
    <t>Weightage of Equity</t>
  </si>
  <si>
    <t>Weightage of Debt</t>
  </si>
  <si>
    <t>EBIT</t>
  </si>
  <si>
    <t>Net Profit</t>
  </si>
  <si>
    <t>EBT</t>
  </si>
  <si>
    <t>Tax Rate</t>
  </si>
  <si>
    <t>CapEx</t>
  </si>
  <si>
    <t>Non-Cash WC</t>
  </si>
  <si>
    <t>FCF</t>
  </si>
  <si>
    <t>India’s real GDP growth rate with Q1 FY 2026‑27 showing 7.8% growth</t>
  </si>
  <si>
    <t>BETA(L) Re-check</t>
  </si>
  <si>
    <t>Dividend Payout Ratio</t>
  </si>
  <si>
    <t>Retention Ratio</t>
  </si>
  <si>
    <t>Sustainable Growth Rate</t>
  </si>
  <si>
    <t>Market Prospect Ratios</t>
  </si>
  <si>
    <t>India’s nominal GDP grew by 10.3% year‑on‑year in Q1 FY 2026‑27</t>
  </si>
  <si>
    <t>India’s annual inflation rate stood at 4.96% (YoY)</t>
  </si>
  <si>
    <t>Perpetual Growth Rate</t>
  </si>
  <si>
    <t>Discounted Factor</t>
  </si>
  <si>
    <t>PV of FCF</t>
  </si>
  <si>
    <t>PV of Terminal Value</t>
  </si>
  <si>
    <t>Terminal Value</t>
  </si>
  <si>
    <t>Enterprise Value</t>
  </si>
  <si>
    <t>Net Debt</t>
  </si>
  <si>
    <t>Market Captalization</t>
  </si>
  <si>
    <t>No. of Share</t>
  </si>
  <si>
    <t>Share Price</t>
  </si>
  <si>
    <t>Company</t>
  </si>
  <si>
    <t>Share Outstanding</t>
  </si>
  <si>
    <t>Market Cap</t>
  </si>
  <si>
    <t>Market Data</t>
  </si>
  <si>
    <t>Financial Data</t>
  </si>
  <si>
    <t>Revenue</t>
  </si>
  <si>
    <t>EBITDA</t>
  </si>
  <si>
    <t>Net Income</t>
  </si>
  <si>
    <t>Valuation</t>
  </si>
  <si>
    <t>EV/Revenue</t>
  </si>
  <si>
    <t>EV/EBITDA</t>
  </si>
  <si>
    <t>EV/EBIT</t>
  </si>
  <si>
    <t>P/E</t>
  </si>
  <si>
    <t>Hind. Unilever</t>
  </si>
  <si>
    <t>ITC</t>
  </si>
  <si>
    <t>Hindustan Foods</t>
  </si>
  <si>
    <t>Godavari Bioref.</t>
  </si>
  <si>
    <t>Davangere Sugar</t>
  </si>
  <si>
    <t>Max</t>
  </si>
  <si>
    <t>3rd Quartile</t>
  </si>
  <si>
    <t>Median</t>
  </si>
  <si>
    <t>Average</t>
  </si>
  <si>
    <t>1st Quartile</t>
  </si>
  <si>
    <t>Min</t>
  </si>
  <si>
    <t>Implied Enterprise Value</t>
  </si>
  <si>
    <t>Implied Market Value</t>
  </si>
  <si>
    <t>Shares Outstanding</t>
  </si>
  <si>
    <t>Implied Value Per Share</t>
  </si>
  <si>
    <t>COGS</t>
  </si>
  <si>
    <t>Gross Profit</t>
  </si>
  <si>
    <t>EBT Margin</t>
  </si>
  <si>
    <t xml:space="preserve">EBIT </t>
  </si>
  <si>
    <t>Other Assests</t>
  </si>
  <si>
    <t>COGS(%)</t>
  </si>
  <si>
    <t>AvgCOGS(%)</t>
  </si>
  <si>
    <t>(%)</t>
  </si>
  <si>
    <t>Avg</t>
  </si>
  <si>
    <t>Opening</t>
  </si>
  <si>
    <t>Closing</t>
  </si>
  <si>
    <t>intrest</t>
  </si>
  <si>
    <t>%</t>
  </si>
  <si>
    <t>fixied assets purchased</t>
  </si>
  <si>
    <t>Debt Schedule</t>
  </si>
  <si>
    <t>Dividend paid (%)</t>
  </si>
  <si>
    <t>Reserve Schedule</t>
  </si>
  <si>
    <t>average</t>
  </si>
  <si>
    <t>Non-Current Liabilities</t>
  </si>
  <si>
    <t>Total Non-Current Liabilities</t>
  </si>
  <si>
    <t>s</t>
  </si>
  <si>
    <t>Fixed Assets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</si>
</sst>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0;\(#,##0.00\)"/>
    <numFmt numFmtId="167" formatCode="#,##0;\(#,##0\)"/>
    <numFmt numFmtId="168" formatCode="mmm/yy&quot; A&quot;"/>
    <numFmt numFmtId="169" formatCode="mmm/yy\ &quot;P&quot;"/>
    <numFmt numFmtId="170" formatCode="0.0000"/>
    <numFmt numFmtId="171" formatCode="0.00&quot;x&quot;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22222F"/>
      <name val="Arial"/>
      <family val="2"/>
    </font>
    <font>
      <b/>
      <sz val="10"/>
      <color theme="1"/>
      <name val="Calibri"/>
      <family val="2"/>
    </font>
    <font>
      <sz val="12"/>
      <color rgb="FF22222F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2" tint="-0.499984740745262"/>
      <name val="Calibri"/>
      <family val="2"/>
    </font>
    <font>
      <sz val="11"/>
      <color theme="2" tint="-0.49998474074526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 style="slantDashDot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mediumDashDot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DashDot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1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11" fillId="8" borderId="0" xfId="5" applyNumberFormat="1" applyFont="1" applyFill="1" applyBorder="1" applyAlignment="1">
      <alignment vertical="center"/>
    </xf>
    <xf numFmtId="166" fontId="8" fillId="8" borderId="0" xfId="5" applyNumberFormat="1" applyFont="1" applyFill="1" applyBorder="1"/>
    <xf numFmtId="166" fontId="8" fillId="5" borderId="0" xfId="5" applyNumberFormat="1" applyFont="1" applyFill="1" applyBorder="1"/>
    <xf numFmtId="166" fontId="8" fillId="5" borderId="0" xfId="5" applyNumberFormat="1" applyFont="1" applyFill="1" applyBorder="1" applyAlignment="1">
      <alignment vertical="center"/>
    </xf>
    <xf numFmtId="166" fontId="8" fillId="5" borderId="0" xfId="5" applyNumberFormat="1" applyFont="1" applyFill="1" applyBorder="1" applyAlignment="1">
      <alignment horizontal="right" vertical="center" wrapText="1"/>
    </xf>
    <xf numFmtId="166" fontId="10" fillId="5" borderId="1" xfId="5" applyNumberFormat="1" applyFont="1" applyFill="1" applyBorder="1" applyAlignment="1">
      <alignment vertical="center"/>
    </xf>
    <xf numFmtId="166" fontId="10" fillId="5" borderId="1" xfId="5" applyNumberFormat="1" applyFont="1" applyFill="1" applyBorder="1" applyAlignment="1">
      <alignment horizontal="right" vertical="center" wrapText="1"/>
    </xf>
    <xf numFmtId="166" fontId="10" fillId="5" borderId="0" xfId="5" applyNumberFormat="1" applyFont="1" applyFill="1" applyBorder="1"/>
    <xf numFmtId="166" fontId="10" fillId="5" borderId="2" xfId="5" applyNumberFormat="1" applyFont="1" applyFill="1" applyBorder="1" applyAlignment="1">
      <alignment vertical="center"/>
    </xf>
    <xf numFmtId="166" fontId="10" fillId="5" borderId="3" xfId="5" applyNumberFormat="1" applyFont="1" applyFill="1" applyBorder="1" applyAlignment="1">
      <alignment horizontal="right" vertical="center" wrapText="1"/>
    </xf>
    <xf numFmtId="166" fontId="8" fillId="5" borderId="0" xfId="5" applyNumberFormat="1" applyFont="1" applyFill="1" applyBorder="1" applyAlignment="1"/>
    <xf numFmtId="166" fontId="9" fillId="7" borderId="0" xfId="0" applyNumberFormat="1" applyFont="1" applyFill="1" applyAlignment="1">
      <alignment horizontal="left" vertical="center"/>
    </xf>
    <xf numFmtId="166" fontId="0" fillId="0" borderId="0" xfId="0" applyNumberFormat="1"/>
    <xf numFmtId="166" fontId="10" fillId="5" borderId="0" xfId="5" applyNumberFormat="1" applyFont="1" applyFill="1" applyBorder="1" applyAlignment="1">
      <alignment vertical="top"/>
    </xf>
    <xf numFmtId="167" fontId="2" fillId="5" borderId="0" xfId="0" applyNumberFormat="1" applyFont="1" applyFill="1" applyAlignment="1">
      <alignment horizontal="left"/>
    </xf>
    <xf numFmtId="167" fontId="1" fillId="0" borderId="0" xfId="0" applyNumberFormat="1" applyFont="1" applyAlignment="1">
      <alignment horizontal="left"/>
    </xf>
    <xf numFmtId="167" fontId="1" fillId="0" borderId="1" xfId="0" applyNumberFormat="1" applyFont="1" applyBorder="1" applyAlignment="1">
      <alignment horizontal="left"/>
    </xf>
    <xf numFmtId="167" fontId="1" fillId="0" borderId="2" xfId="0" applyNumberFormat="1" applyFont="1" applyBorder="1" applyAlignment="1">
      <alignment horizontal="left"/>
    </xf>
    <xf numFmtId="167" fontId="7" fillId="11" borderId="0" xfId="0" applyNumberFormat="1" applyFont="1" applyFill="1" applyAlignment="1">
      <alignment horizontal="left"/>
    </xf>
    <xf numFmtId="167" fontId="13" fillId="0" borderId="0" xfId="0" applyNumberFormat="1" applyFont="1"/>
    <xf numFmtId="167" fontId="13" fillId="5" borderId="0" xfId="0" applyNumberFormat="1" applyFont="1" applyFill="1"/>
    <xf numFmtId="167" fontId="12" fillId="0" borderId="0" xfId="0" applyNumberFormat="1" applyFont="1"/>
    <xf numFmtId="167" fontId="15" fillId="0" borderId="0" xfId="0" applyNumberFormat="1" applyFont="1"/>
    <xf numFmtId="168" fontId="18" fillId="9" borderId="0" xfId="0" applyNumberFormat="1" applyFont="1" applyFill="1"/>
    <xf numFmtId="169" fontId="18" fillId="10" borderId="0" xfId="0" applyNumberFormat="1" applyFont="1" applyFill="1"/>
    <xf numFmtId="167" fontId="0" fillId="0" borderId="0" xfId="0" applyNumberFormat="1" applyAlignment="1">
      <alignment horizontal="left"/>
    </xf>
    <xf numFmtId="167" fontId="0" fillId="6" borderId="0" xfId="0" applyNumberFormat="1" applyFill="1" applyAlignment="1">
      <alignment horizontal="left"/>
    </xf>
    <xf numFmtId="0" fontId="15" fillId="0" borderId="0" xfId="0" applyFont="1"/>
    <xf numFmtId="10" fontId="15" fillId="0" borderId="7" xfId="4" applyNumberFormat="1" applyFont="1" applyBorder="1" applyAlignment="1">
      <alignment horizontal="center"/>
    </xf>
    <xf numFmtId="10" fontId="14" fillId="10" borderId="7" xfId="4" applyNumberFormat="1" applyFont="1" applyFill="1" applyBorder="1" applyAlignment="1">
      <alignment horizontal="center"/>
    </xf>
    <xf numFmtId="167" fontId="2" fillId="9" borderId="10" xfId="0" applyNumberFormat="1" applyFont="1" applyFill="1" applyBorder="1" applyAlignment="1">
      <alignment horizontal="left"/>
    </xf>
    <xf numFmtId="0" fontId="1" fillId="0" borderId="11" xfId="0" applyFont="1" applyBorder="1"/>
    <xf numFmtId="10" fontId="1" fillId="0" borderId="7" xfId="4" applyNumberFormat="1" applyFont="1" applyBorder="1" applyAlignment="1">
      <alignment horizontal="center"/>
    </xf>
    <xf numFmtId="10" fontId="2" fillId="10" borderId="7" xfId="4" applyNumberFormat="1" applyFont="1" applyFill="1" applyBorder="1" applyAlignment="1">
      <alignment horizontal="center"/>
    </xf>
    <xf numFmtId="167" fontId="18" fillId="9" borderId="0" xfId="0" applyNumberFormat="1" applyFont="1" applyFill="1" applyAlignment="1">
      <alignment horizontal="left"/>
    </xf>
    <xf numFmtId="0" fontId="20" fillId="0" borderId="0" xfId="0" applyFont="1"/>
    <xf numFmtId="167" fontId="20" fillId="0" borderId="0" xfId="0" applyNumberFormat="1" applyFont="1"/>
    <xf numFmtId="0" fontId="21" fillId="0" borderId="0" xfId="0" applyFont="1"/>
    <xf numFmtId="2" fontId="13" fillId="0" borderId="0" xfId="4" applyNumberFormat="1" applyFont="1" applyAlignment="1">
      <alignment horizontal="center"/>
    </xf>
    <xf numFmtId="2" fontId="13" fillId="10" borderId="0" xfId="4" applyNumberFormat="1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10" fontId="13" fillId="10" borderId="0" xfId="0" applyNumberFormat="1" applyFont="1" applyFill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10" borderId="0" xfId="0" applyNumberFormat="1" applyFont="1" applyFill="1" applyAlignment="1">
      <alignment horizontal="center"/>
    </xf>
    <xf numFmtId="168" fontId="2" fillId="9" borderId="7" xfId="0" applyNumberFormat="1" applyFont="1" applyFill="1" applyBorder="1"/>
    <xf numFmtId="169" fontId="2" fillId="10" borderId="7" xfId="0" applyNumberFormat="1" applyFont="1" applyFill="1" applyBorder="1"/>
    <xf numFmtId="168" fontId="18" fillId="9" borderId="0" xfId="0" applyNumberFormat="1" applyFont="1" applyFill="1" applyAlignment="1">
      <alignment horizontal="right"/>
    </xf>
    <xf numFmtId="169" fontId="18" fillId="10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4" applyNumberFormat="1" applyFont="1" applyAlignment="1">
      <alignment horizontal="right"/>
    </xf>
    <xf numFmtId="167" fontId="14" fillId="5" borderId="0" xfId="0" applyNumberFormat="1" applyFont="1" applyFill="1" applyAlignment="1">
      <alignment horizontal="right"/>
    </xf>
    <xf numFmtId="167" fontId="13" fillId="5" borderId="0" xfId="0" applyNumberFormat="1" applyFont="1" applyFill="1" applyAlignment="1">
      <alignment horizontal="right"/>
    </xf>
    <xf numFmtId="167" fontId="15" fillId="11" borderId="0" xfId="0" applyNumberFormat="1" applyFont="1" applyFill="1" applyAlignment="1">
      <alignment horizontal="right"/>
    </xf>
    <xf numFmtId="167" fontId="13" fillId="0" borderId="0" xfId="0" applyNumberFormat="1" applyFont="1" applyAlignment="1">
      <alignment horizontal="right"/>
    </xf>
    <xf numFmtId="167" fontId="16" fillId="10" borderId="0" xfId="0" applyNumberFormat="1" applyFont="1" applyFill="1" applyAlignment="1">
      <alignment horizontal="right"/>
    </xf>
    <xf numFmtId="10" fontId="13" fillId="6" borderId="0" xfId="4" applyNumberFormat="1" applyFont="1" applyFill="1" applyAlignment="1">
      <alignment horizontal="right"/>
    </xf>
    <xf numFmtId="10" fontId="16" fillId="4" borderId="0" xfId="4" applyNumberFormat="1" applyFont="1" applyFill="1" applyAlignment="1">
      <alignment horizontal="right"/>
    </xf>
    <xf numFmtId="167" fontId="15" fillId="0" borderId="1" xfId="0" applyNumberFormat="1" applyFont="1" applyBorder="1" applyAlignment="1">
      <alignment horizontal="right"/>
    </xf>
    <xf numFmtId="167" fontId="14" fillId="10" borderId="6" xfId="0" applyNumberFormat="1" applyFont="1" applyFill="1" applyBorder="1" applyAlignment="1">
      <alignment horizontal="right"/>
    </xf>
    <xf numFmtId="167" fontId="15" fillId="0" borderId="3" xfId="0" applyNumberFormat="1" applyFont="1" applyBorder="1" applyAlignment="1">
      <alignment horizontal="right"/>
    </xf>
    <xf numFmtId="167" fontId="15" fillId="0" borderId="4" xfId="0" applyNumberFormat="1" applyFont="1" applyBorder="1" applyAlignment="1">
      <alignment horizontal="right"/>
    </xf>
    <xf numFmtId="167" fontId="14" fillId="10" borderId="5" xfId="0" applyNumberFormat="1" applyFont="1" applyFill="1" applyBorder="1" applyAlignment="1">
      <alignment horizontal="right"/>
    </xf>
    <xf numFmtId="167" fontId="14" fillId="11" borderId="0" xfId="0" applyNumberFormat="1" applyFont="1" applyFill="1" applyAlignment="1">
      <alignment horizontal="right"/>
    </xf>
    <xf numFmtId="167" fontId="16" fillId="10" borderId="6" xfId="0" applyNumberFormat="1" applyFont="1" applyFill="1" applyBorder="1" applyAlignment="1">
      <alignment horizontal="right"/>
    </xf>
    <xf numFmtId="167" fontId="15" fillId="0" borderId="0" xfId="0" applyNumberFormat="1" applyFont="1" applyAlignment="1">
      <alignment horizontal="right"/>
    </xf>
    <xf numFmtId="0" fontId="5" fillId="10" borderId="0" xfId="0" applyFont="1" applyFill="1" applyAlignment="1">
      <alignment horizontal="right"/>
    </xf>
    <xf numFmtId="10" fontId="13" fillId="0" borderId="0" xfId="0" applyNumberFormat="1" applyFont="1" applyAlignment="1">
      <alignment horizontal="right"/>
    </xf>
    <xf numFmtId="10" fontId="16" fillId="10" borderId="0" xfId="0" applyNumberFormat="1" applyFont="1" applyFill="1" applyAlignment="1">
      <alignment horizontal="right"/>
    </xf>
    <xf numFmtId="10" fontId="13" fillId="0" borderId="0" xfId="4" applyNumberFormat="1" applyFont="1" applyAlignment="1">
      <alignment horizontal="right"/>
    </xf>
    <xf numFmtId="10" fontId="16" fillId="10" borderId="0" xfId="4" applyNumberFormat="1" applyFont="1" applyFill="1" applyAlignment="1">
      <alignment horizontal="right"/>
    </xf>
    <xf numFmtId="0" fontId="13" fillId="0" borderId="0" xfId="0" applyFont="1" applyAlignment="1">
      <alignment horizontal="right"/>
    </xf>
    <xf numFmtId="0" fontId="16" fillId="10" borderId="0" xfId="0" applyFont="1" applyFill="1" applyAlignment="1">
      <alignment horizontal="right"/>
    </xf>
    <xf numFmtId="2" fontId="13" fillId="0" borderId="0" xfId="0" applyNumberFormat="1" applyFont="1" applyAlignment="1">
      <alignment horizontal="right"/>
    </xf>
    <xf numFmtId="2" fontId="16" fillId="10" borderId="0" xfId="0" applyNumberFormat="1" applyFont="1" applyFill="1" applyAlignment="1">
      <alignment horizontal="right"/>
    </xf>
    <xf numFmtId="0" fontId="1" fillId="0" borderId="12" xfId="0" applyFont="1" applyBorder="1"/>
    <xf numFmtId="4" fontId="0" fillId="0" borderId="0" xfId="0" applyNumberForma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18" xfId="0" applyBorder="1"/>
    <xf numFmtId="3" fontId="22" fillId="0" borderId="19" xfId="0" applyNumberFormat="1" applyFont="1" applyBorder="1"/>
    <xf numFmtId="10" fontId="0" fillId="0" borderId="19" xfId="4" applyNumberFormat="1" applyFont="1" applyBorder="1"/>
    <xf numFmtId="0" fontId="22" fillId="0" borderId="19" xfId="0" applyFont="1" applyBorder="1"/>
    <xf numFmtId="10" fontId="22" fillId="0" borderId="19" xfId="4" applyNumberFormat="1" applyFont="1" applyBorder="1"/>
    <xf numFmtId="10" fontId="0" fillId="0" borderId="19" xfId="0" applyNumberFormat="1" applyBorder="1"/>
    <xf numFmtId="0" fontId="0" fillId="0" borderId="20" xfId="0" applyBorder="1"/>
    <xf numFmtId="170" fontId="0" fillId="0" borderId="0" xfId="0" applyNumberFormat="1"/>
    <xf numFmtId="0" fontId="1" fillId="13" borderId="0" xfId="0" applyFont="1" applyFill="1"/>
    <xf numFmtId="10" fontId="1" fillId="13" borderId="0" xfId="4" applyNumberFormat="1" applyFont="1" applyFill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22" xfId="0" applyBorder="1" applyAlignment="1">
      <alignment horizontal="right"/>
    </xf>
    <xf numFmtId="10" fontId="0" fillId="0" borderId="22" xfId="0" applyNumberFormat="1" applyBorder="1" applyAlignment="1">
      <alignment horizontal="right"/>
    </xf>
    <xf numFmtId="10" fontId="0" fillId="0" borderId="0" xfId="0" applyNumberFormat="1"/>
    <xf numFmtId="10" fontId="14" fillId="10" borderId="15" xfId="4" applyNumberFormat="1" applyFont="1" applyFill="1" applyBorder="1" applyAlignment="1">
      <alignment horizontal="right"/>
    </xf>
    <xf numFmtId="0" fontId="23" fillId="0" borderId="7" xfId="0" applyFont="1" applyBorder="1"/>
    <xf numFmtId="0" fontId="0" fillId="0" borderId="7" xfId="0" applyBorder="1"/>
    <xf numFmtId="10" fontId="1" fillId="0" borderId="0" xfId="4" applyNumberFormat="1" applyFont="1"/>
    <xf numFmtId="2" fontId="0" fillId="0" borderId="0" xfId="0" applyNumberFormat="1"/>
    <xf numFmtId="0" fontId="1" fillId="0" borderId="22" xfId="0" applyFont="1" applyBorder="1" applyAlignment="1">
      <alignment horizontal="right"/>
    </xf>
    <xf numFmtId="2" fontId="1" fillId="0" borderId="23" xfId="0" applyNumberFormat="1" applyFont="1" applyBorder="1" applyAlignment="1">
      <alignment horizontal="right"/>
    </xf>
    <xf numFmtId="2" fontId="1" fillId="0" borderId="24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1" fillId="11" borderId="0" xfId="0" applyFont="1" applyFill="1"/>
    <xf numFmtId="0" fontId="0" fillId="11" borderId="0" xfId="0" applyFill="1"/>
    <xf numFmtId="2" fontId="1" fillId="11" borderId="0" xfId="0" applyNumberFormat="1" applyFont="1" applyFill="1"/>
    <xf numFmtId="167" fontId="0" fillId="0" borderId="0" xfId="0" applyNumberFormat="1" applyAlignment="1">
      <alignment horizontal="right"/>
    </xf>
    <xf numFmtId="167" fontId="0" fillId="0" borderId="22" xfId="0" applyNumberFormat="1" applyBorder="1" applyAlignment="1">
      <alignment horizontal="right"/>
    </xf>
    <xf numFmtId="2" fontId="0" fillId="0" borderId="21" xfId="0" applyNumberFormat="1" applyBorder="1"/>
    <xf numFmtId="0" fontId="0" fillId="5" borderId="0" xfId="0" applyFill="1"/>
    <xf numFmtId="0" fontId="2" fillId="15" borderId="0" xfId="0" applyFont="1" applyFill="1"/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16" borderId="0" xfId="0" applyFill="1"/>
    <xf numFmtId="0" fontId="0" fillId="17" borderId="0" xfId="0" applyFill="1"/>
    <xf numFmtId="171" fontId="0" fillId="5" borderId="0" xfId="0" applyNumberFormat="1" applyFill="1" applyAlignment="1">
      <alignment horizontal="center"/>
    </xf>
    <xf numFmtId="171" fontId="0" fillId="17" borderId="0" xfId="0" applyNumberFormat="1" applyFill="1" applyAlignment="1">
      <alignment horizontal="center"/>
    </xf>
    <xf numFmtId="0" fontId="2" fillId="1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1" fillId="16" borderId="0" xfId="0" applyFont="1" applyFill="1" applyAlignment="1">
      <alignment horizontal="left"/>
    </xf>
    <xf numFmtId="0" fontId="1" fillId="16" borderId="0" xfId="0" applyFont="1" applyFill="1"/>
    <xf numFmtId="171" fontId="1" fillId="16" borderId="0" xfId="0" applyNumberFormat="1" applyFont="1" applyFill="1" applyAlignment="1">
      <alignment horizontal="center"/>
    </xf>
    <xf numFmtId="0" fontId="1" fillId="17" borderId="0" xfId="0" applyFont="1" applyFill="1" applyAlignment="1">
      <alignment horizontal="left"/>
    </xf>
    <xf numFmtId="0" fontId="1" fillId="17" borderId="0" xfId="0" applyFont="1" applyFill="1"/>
    <xf numFmtId="171" fontId="1" fillId="17" borderId="0" xfId="0" applyNumberFormat="1" applyFont="1" applyFill="1" applyAlignment="1">
      <alignment horizontal="center"/>
    </xf>
    <xf numFmtId="43" fontId="1" fillId="16" borderId="0" xfId="0" applyNumberFormat="1" applyFont="1" applyFill="1" applyAlignment="1">
      <alignment horizontal="left"/>
    </xf>
    <xf numFmtId="170" fontId="1" fillId="0" borderId="0" xfId="0" applyNumberFormat="1" applyFont="1"/>
    <xf numFmtId="0" fontId="22" fillId="0" borderId="0" xfId="0" applyFont="1" applyAlignment="1">
      <alignment horizontal="center"/>
    </xf>
    <xf numFmtId="2" fontId="22" fillId="5" borderId="0" xfId="0" applyNumberFormat="1" applyFon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0" borderId="0" xfId="0" applyNumberFormat="1"/>
    <xf numFmtId="2" fontId="1" fillId="16" borderId="0" xfId="0" applyNumberFormat="1" applyFont="1" applyFill="1"/>
    <xf numFmtId="170" fontId="1" fillId="0" borderId="0" xfId="0" applyNumberFormat="1" applyFont="1" applyAlignment="1">
      <alignment horizontal="right"/>
    </xf>
    <xf numFmtId="167" fontId="18" fillId="9" borderId="26" xfId="0" applyNumberFormat="1" applyFont="1" applyFill="1" applyBorder="1" applyAlignment="1">
      <alignment horizontal="left"/>
    </xf>
    <xf numFmtId="168" fontId="18" fillId="9" borderId="27" xfId="0" applyNumberFormat="1" applyFont="1" applyFill="1" applyBorder="1" applyAlignment="1">
      <alignment horizontal="right"/>
    </xf>
    <xf numFmtId="43" fontId="0" fillId="0" borderId="26" xfId="0" applyNumberFormat="1" applyBorder="1"/>
    <xf numFmtId="10" fontId="0" fillId="0" borderId="0" xfId="4" applyNumberFormat="1" applyFont="1" applyBorder="1"/>
    <xf numFmtId="10" fontId="0" fillId="0" borderId="27" xfId="4" applyNumberFormat="1" applyFont="1" applyBorder="1"/>
    <xf numFmtId="43" fontId="0" fillId="0" borderId="28" xfId="0" applyNumberFormat="1" applyBorder="1"/>
    <xf numFmtId="10" fontId="0" fillId="0" borderId="29" xfId="4" applyNumberFormat="1" applyFont="1" applyBorder="1"/>
    <xf numFmtId="10" fontId="0" fillId="0" borderId="30" xfId="4" applyNumberFormat="1" applyFont="1" applyBorder="1"/>
    <xf numFmtId="43" fontId="1" fillId="0" borderId="26" xfId="0" applyNumberFormat="1" applyFont="1" applyBorder="1"/>
    <xf numFmtId="10" fontId="1" fillId="0" borderId="0" xfId="4" applyNumberFormat="1" applyFont="1" applyBorder="1"/>
    <xf numFmtId="10" fontId="1" fillId="0" borderId="27" xfId="4" applyNumberFormat="1" applyFont="1" applyBorder="1"/>
    <xf numFmtId="0" fontId="0" fillId="0" borderId="26" xfId="0" applyBorder="1"/>
    <xf numFmtId="43" fontId="1" fillId="0" borderId="31" xfId="0" applyNumberFormat="1" applyFont="1" applyBorder="1"/>
    <xf numFmtId="10" fontId="1" fillId="0" borderId="3" xfId="4" applyNumberFormat="1" applyFont="1" applyBorder="1"/>
    <xf numFmtId="10" fontId="1" fillId="0" borderId="32" xfId="4" applyNumberFormat="1" applyFont="1" applyBorder="1"/>
    <xf numFmtId="166" fontId="24" fillId="5" borderId="0" xfId="5" applyNumberFormat="1" applyFont="1" applyFill="1" applyBorder="1" applyAlignment="1">
      <alignment horizontal="right" vertical="center" wrapText="1"/>
    </xf>
    <xf numFmtId="166" fontId="24" fillId="5" borderId="0" xfId="5" applyNumberFormat="1" applyFont="1" applyFill="1" applyBorder="1"/>
    <xf numFmtId="166" fontId="25" fillId="7" borderId="0" xfId="0" applyNumberFormat="1" applyFont="1" applyFill="1" applyAlignment="1">
      <alignment horizontal="right" vertical="center" wrapText="1"/>
    </xf>
    <xf numFmtId="166" fontId="10" fillId="5" borderId="4" xfId="5" applyNumberFormat="1" applyFont="1" applyFill="1" applyBorder="1" applyAlignment="1">
      <alignment horizontal="right" vertical="center" wrapText="1"/>
    </xf>
    <xf numFmtId="10" fontId="1" fillId="0" borderId="13" xfId="4" applyNumberFormat="1" applyFont="1" applyBorder="1" applyAlignment="1">
      <alignment horizontal="right"/>
    </xf>
    <xf numFmtId="10" fontId="1" fillId="0" borderId="14" xfId="4" applyNumberFormat="1" applyFont="1" applyBorder="1" applyAlignment="1">
      <alignment horizontal="right"/>
    </xf>
    <xf numFmtId="4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2" fillId="15" borderId="0" xfId="0" applyFont="1" applyFill="1" applyAlignment="1">
      <alignment horizontal="right"/>
    </xf>
    <xf numFmtId="0" fontId="2" fillId="15" borderId="0" xfId="0" applyFont="1" applyFill="1" applyAlignment="1">
      <alignment horizontal="center"/>
    </xf>
    <xf numFmtId="0" fontId="0" fillId="0" borderId="0" xfId="4" applyNumberFormat="1" applyFont="1"/>
    <xf numFmtId="166" fontId="15" fillId="0" borderId="13" xfId="0" applyNumberFormat="1" applyFont="1" applyBorder="1" applyAlignment="1">
      <alignment horizontal="right"/>
    </xf>
    <xf numFmtId="166" fontId="15" fillId="0" borderId="14" xfId="0" applyNumberFormat="1" applyFont="1" applyBorder="1" applyAlignment="1">
      <alignment horizontal="right"/>
    </xf>
    <xf numFmtId="166" fontId="14" fillId="10" borderId="15" xfId="0" applyNumberFormat="1" applyFont="1" applyFill="1" applyBorder="1" applyAlignment="1">
      <alignment horizontal="right"/>
    </xf>
    <xf numFmtId="166" fontId="14" fillId="10" borderId="16" xfId="0" applyNumberFormat="1" applyFont="1" applyFill="1" applyBorder="1" applyAlignment="1">
      <alignment horizontal="right"/>
    </xf>
    <xf numFmtId="166" fontId="14" fillId="10" borderId="17" xfId="0" applyNumberFormat="1" applyFont="1" applyFill="1" applyBorder="1" applyAlignment="1">
      <alignment horizontal="right"/>
    </xf>
    <xf numFmtId="10" fontId="1" fillId="0" borderId="0" xfId="0" applyNumberFormat="1" applyFont="1" applyAlignment="1">
      <alignment horizontal="right"/>
    </xf>
    <xf numFmtId="167" fontId="0" fillId="5" borderId="0" xfId="0" applyNumberFormat="1" applyFill="1" applyAlignment="1">
      <alignment horizontal="left"/>
    </xf>
    <xf numFmtId="167" fontId="16" fillId="5" borderId="0" xfId="0" applyNumberFormat="1" applyFont="1" applyFill="1" applyAlignment="1">
      <alignment horizontal="right"/>
    </xf>
    <xf numFmtId="9" fontId="15" fillId="5" borderId="0" xfId="4" applyFont="1" applyFill="1"/>
    <xf numFmtId="167" fontId="15" fillId="5" borderId="0" xfId="4" applyNumberFormat="1" applyFont="1" applyFill="1"/>
    <xf numFmtId="9" fontId="15" fillId="0" borderId="0" xfId="4" applyFont="1"/>
    <xf numFmtId="167" fontId="15" fillId="0" borderId="0" xfId="4" applyNumberFormat="1" applyFont="1"/>
    <xf numFmtId="10" fontId="0" fillId="0" borderId="0" xfId="4" applyNumberFormat="1" applyFont="1"/>
    <xf numFmtId="1" fontId="0" fillId="0" borderId="0" xfId="0" applyNumberFormat="1"/>
    <xf numFmtId="168" fontId="18" fillId="18" borderId="0" xfId="0" applyNumberFormat="1" applyFont="1" applyFill="1" applyAlignment="1">
      <alignment horizontal="right"/>
    </xf>
    <xf numFmtId="1" fontId="1" fillId="0" borderId="0" xfId="0" applyNumberFormat="1" applyFont="1"/>
    <xf numFmtId="168" fontId="18" fillId="9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18" borderId="0" xfId="0" applyFont="1" applyFill="1"/>
    <xf numFmtId="0" fontId="1" fillId="0" borderId="35" xfId="0" applyFont="1" applyBorder="1" applyAlignment="1">
      <alignment horizontal="center"/>
    </xf>
    <xf numFmtId="168" fontId="1" fillId="0" borderId="36" xfId="0" applyNumberFormat="1" applyFont="1" applyBorder="1"/>
    <xf numFmtId="168" fontId="1" fillId="0" borderId="0" xfId="0" applyNumberFormat="1" applyFont="1"/>
    <xf numFmtId="0" fontId="0" fillId="0" borderId="37" xfId="0" applyBorder="1"/>
    <xf numFmtId="2" fontId="0" fillId="0" borderId="36" xfId="0" applyNumberFormat="1" applyBorder="1"/>
    <xf numFmtId="0" fontId="1" fillId="0" borderId="36" xfId="0" applyFont="1" applyBorder="1"/>
    <xf numFmtId="0" fontId="1" fillId="0" borderId="37" xfId="0" applyFont="1" applyBorder="1"/>
    <xf numFmtId="2" fontId="3" fillId="0" borderId="36" xfId="4" applyNumberFormat="1" applyFont="1" applyBorder="1"/>
    <xf numFmtId="1" fontId="1" fillId="0" borderId="38" xfId="4" applyNumberFormat="1" applyFont="1" applyBorder="1"/>
    <xf numFmtId="0" fontId="1" fillId="0" borderId="39" xfId="0" applyFont="1" applyBorder="1"/>
    <xf numFmtId="0" fontId="1" fillId="0" borderId="40" xfId="0" applyFont="1" applyBorder="1"/>
    <xf numFmtId="168" fontId="1" fillId="0" borderId="37" xfId="0" applyNumberFormat="1" applyFont="1" applyBorder="1"/>
    <xf numFmtId="0" fontId="0" fillId="0" borderId="36" xfId="0" applyBorder="1"/>
    <xf numFmtId="0" fontId="0" fillId="0" borderId="36" xfId="4" applyNumberFormat="1" applyFont="1" applyBorder="1"/>
    <xf numFmtId="0" fontId="0" fillId="0" borderId="0" xfId="4" applyNumberFormat="1" applyFont="1" applyBorder="1"/>
    <xf numFmtId="0" fontId="0" fillId="0" borderId="37" xfId="4" applyNumberFormat="1" applyFont="1" applyBorder="1"/>
    <xf numFmtId="1" fontId="0" fillId="0" borderId="38" xfId="0" applyNumberFormat="1" applyBorder="1"/>
    <xf numFmtId="1" fontId="0" fillId="0" borderId="39" xfId="0" applyNumberFormat="1" applyBorder="1"/>
    <xf numFmtId="1" fontId="0" fillId="0" borderId="40" xfId="0" applyNumberFormat="1" applyBorder="1"/>
    <xf numFmtId="2" fontId="1" fillId="0" borderId="0" xfId="0" applyNumberFormat="1" applyFont="1"/>
    <xf numFmtId="1" fontId="0" fillId="0" borderId="36" xfId="0" applyNumberFormat="1" applyBorder="1"/>
    <xf numFmtId="1" fontId="0" fillId="0" borderId="37" xfId="0" applyNumberFormat="1" applyBorder="1"/>
    <xf numFmtId="1" fontId="1" fillId="0" borderId="38" xfId="0" applyNumberFormat="1" applyFont="1" applyBorder="1"/>
    <xf numFmtId="1" fontId="1" fillId="0" borderId="39" xfId="0" applyNumberFormat="1" applyFont="1" applyBorder="1"/>
    <xf numFmtId="1" fontId="1" fillId="0" borderId="40" xfId="0" applyNumberFormat="1" applyFont="1" applyBorder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67" fontId="14" fillId="10" borderId="0" xfId="0" applyNumberFormat="1" applyFont="1" applyFill="1" applyAlignment="1">
      <alignment horizontal="right"/>
    </xf>
    <xf numFmtId="167" fontId="17" fillId="9" borderId="0" xfId="0" applyNumberFormat="1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67" fontId="17" fillId="14" borderId="8" xfId="0" applyNumberFormat="1" applyFont="1" applyFill="1" applyBorder="1" applyAlignment="1">
      <alignment horizontal="center"/>
    </xf>
    <xf numFmtId="167" fontId="17" fillId="14" borderId="6" xfId="0" applyNumberFormat="1" applyFont="1" applyFill="1" applyBorder="1" applyAlignment="1">
      <alignment horizontal="center"/>
    </xf>
    <xf numFmtId="167" fontId="17" fillId="14" borderId="9" xfId="0" applyNumberFormat="1" applyFont="1" applyFill="1" applyBorder="1" applyAlignment="1">
      <alignment horizontal="center"/>
    </xf>
    <xf numFmtId="167" fontId="17" fillId="14" borderId="0" xfId="0" applyNumberFormat="1" applyFont="1" applyFill="1" applyAlignment="1">
      <alignment horizontal="center"/>
    </xf>
    <xf numFmtId="43" fontId="2" fillId="12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8" fillId="15" borderId="25" xfId="0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19" fillId="6" borderId="8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6" borderId="9" xfId="0" applyFont="1" applyFill="1" applyBorder="1" applyAlignment="1">
      <alignment horizontal="center"/>
    </xf>
    <xf numFmtId="167" fontId="17" fillId="9" borderId="26" xfId="0" applyNumberFormat="1" applyFont="1" applyFill="1" applyBorder="1" applyAlignment="1">
      <alignment horizontal="center"/>
    </xf>
    <xf numFmtId="167" fontId="17" fillId="9" borderId="27" xfId="0" applyNumberFormat="1" applyFont="1" applyFill="1" applyBorder="1" applyAlignment="1">
      <alignment horizontal="center"/>
    </xf>
    <xf numFmtId="167" fontId="1" fillId="0" borderId="0" xfId="0" applyNumberFormat="1" applyFont="1" applyBorder="1" applyAlignment="1">
      <alignment horizontal="left"/>
    </xf>
    <xf numFmtId="167" fontId="15" fillId="0" borderId="0" xfId="0" applyNumberFormat="1" applyFont="1" applyBorder="1" applyAlignment="1">
      <alignment horizontal="right"/>
    </xf>
    <xf numFmtId="167" fontId="16" fillId="10" borderId="0" xfId="0" applyNumberFormat="1" applyFont="1" applyFill="1" applyBorder="1" applyAlignment="1">
      <alignment horizontal="right"/>
    </xf>
  </cellXfs>
  <cellStyles count="6">
    <cellStyle name="Accent6" xfId="3" builtinId="49"/>
    <cellStyle name="Comma" xfId="1" builtinId="3"/>
    <cellStyle name="Currency" xfId="5" builtinId="4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zoomScalePageLayoutView="120" workbookViewId="0">
      <pane xSplit="1" ySplit="1" topLeftCell="B40" activePane="bottomRight" state="frozen"/>
      <selection activeCell="C4" sqref="C4"/>
      <selection pane="topRight" activeCell="C4" sqref="C4"/>
      <selection pane="bottomLeft" activeCell="C4" sqref="C4"/>
      <selection pane="bottomRight" activeCell="B74" sqref="B74:K74"/>
    </sheetView>
  </sheetViews>
  <sheetFormatPr defaultColWidth="8.73046875" defaultRowHeight="14.25" x14ac:dyDescent="0.45"/>
  <cols>
    <col min="1" max="1" width="27.73046875" style="3" bestFit="1" customWidth="1"/>
    <col min="2" max="11" width="13.46484375" style="3" bestFit="1" customWidth="1"/>
    <col min="12" max="16384" width="8.73046875" style="3"/>
  </cols>
  <sheetData>
    <row r="1" spans="1:11" s="1" customFormat="1" x14ac:dyDescent="0.45">
      <c r="A1" s="1" t="s">
        <v>0</v>
      </c>
      <c r="B1" s="1" t="s">
        <v>32</v>
      </c>
      <c r="E1" s="220" t="str">
        <f>IF(B2&lt;&gt;B3, "A NEW VERSION OF THE WORKSHEET IS AVAILABLE", "")</f>
        <v/>
      </c>
      <c r="F1" s="220"/>
      <c r="G1" s="220"/>
      <c r="H1" s="220"/>
      <c r="I1" s="220"/>
      <c r="J1" s="220"/>
      <c r="K1" s="220"/>
    </row>
    <row r="2" spans="1:11" x14ac:dyDescent="0.45">
      <c r="A2" s="1" t="s">
        <v>30</v>
      </c>
      <c r="B2" s="3">
        <v>2.1</v>
      </c>
      <c r="E2" s="221" t="s">
        <v>21</v>
      </c>
      <c r="F2" s="221"/>
      <c r="G2" s="221"/>
      <c r="H2" s="221"/>
      <c r="I2" s="221"/>
      <c r="J2" s="221"/>
      <c r="K2" s="221"/>
    </row>
    <row r="3" spans="1:11" x14ac:dyDescent="0.45">
      <c r="A3" s="1" t="s">
        <v>31</v>
      </c>
      <c r="B3" s="3">
        <v>2.1</v>
      </c>
    </row>
    <row r="4" spans="1:11" x14ac:dyDescent="0.45">
      <c r="A4" s="1"/>
    </row>
    <row r="5" spans="1:11" x14ac:dyDescent="0.45">
      <c r="A5" s="1" t="s">
        <v>33</v>
      </c>
    </row>
    <row r="6" spans="1:11" x14ac:dyDescent="0.45">
      <c r="A6" s="3" t="s">
        <v>27</v>
      </c>
      <c r="B6" s="3">
        <f>IF(B9&gt;0, B9/B8, 0)</f>
        <v>234.95910310463779</v>
      </c>
    </row>
    <row r="7" spans="1:11" x14ac:dyDescent="0.45">
      <c r="A7" s="3" t="s">
        <v>16</v>
      </c>
      <c r="B7">
        <v>1</v>
      </c>
    </row>
    <row r="8" spans="1:11" x14ac:dyDescent="0.45">
      <c r="A8" s="3" t="s">
        <v>28</v>
      </c>
      <c r="B8">
        <v>1826.3</v>
      </c>
    </row>
    <row r="9" spans="1:11" x14ac:dyDescent="0.45">
      <c r="A9" s="3" t="s">
        <v>43</v>
      </c>
      <c r="B9">
        <v>429105.81</v>
      </c>
    </row>
    <row r="15" spans="1:11" x14ac:dyDescent="0.45">
      <c r="A15" s="1" t="s">
        <v>22</v>
      </c>
    </row>
    <row r="16" spans="1:11" s="7" customFormat="1" x14ac:dyDescent="0.45">
      <c r="A16" s="6" t="s">
        <v>23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45">
      <c r="A17" s="4" t="s">
        <v>1</v>
      </c>
      <c r="B17">
        <v>31890</v>
      </c>
      <c r="C17">
        <v>34525</v>
      </c>
      <c r="D17">
        <v>38224</v>
      </c>
      <c r="E17">
        <v>38785</v>
      </c>
      <c r="F17">
        <v>45996</v>
      </c>
      <c r="G17">
        <v>51193</v>
      </c>
      <c r="H17">
        <v>59144</v>
      </c>
      <c r="I17">
        <v>60469</v>
      </c>
      <c r="J17">
        <v>59676</v>
      </c>
      <c r="K17">
        <v>61975</v>
      </c>
    </row>
    <row r="18" spans="1:11" s="4" customFormat="1" x14ac:dyDescent="0.45">
      <c r="A18" s="3" t="s">
        <v>44</v>
      </c>
      <c r="B18">
        <v>13165</v>
      </c>
      <c r="C18">
        <v>13859</v>
      </c>
      <c r="D18">
        <v>15430</v>
      </c>
      <c r="E18">
        <v>15378</v>
      </c>
      <c r="F18">
        <v>19784</v>
      </c>
      <c r="G18">
        <v>22398</v>
      </c>
      <c r="H18">
        <v>28042</v>
      </c>
      <c r="I18">
        <v>26598</v>
      </c>
      <c r="J18">
        <v>26445</v>
      </c>
      <c r="K18">
        <v>28883</v>
      </c>
    </row>
    <row r="19" spans="1:11" s="4" customFormat="1" x14ac:dyDescent="0.45">
      <c r="A19" s="3" t="s">
        <v>45</v>
      </c>
      <c r="B19">
        <v>-156</v>
      </c>
      <c r="C19">
        <v>71</v>
      </c>
      <c r="D19">
        <v>-12</v>
      </c>
      <c r="E19">
        <v>121</v>
      </c>
      <c r="F19">
        <v>391</v>
      </c>
      <c r="G19">
        <v>19</v>
      </c>
      <c r="H19">
        <v>53</v>
      </c>
      <c r="I19">
        <v>8</v>
      </c>
      <c r="J19">
        <v>78</v>
      </c>
      <c r="K19">
        <v>395</v>
      </c>
    </row>
    <row r="20" spans="1:11" s="4" customFormat="1" x14ac:dyDescent="0.45">
      <c r="A20" s="3" t="s">
        <v>46</v>
      </c>
      <c r="B20">
        <v>257</v>
      </c>
      <c r="C20">
        <v>259</v>
      </c>
      <c r="D20">
        <v>269</v>
      </c>
      <c r="E20">
        <v>263</v>
      </c>
      <c r="F20">
        <v>304</v>
      </c>
      <c r="G20">
        <v>277</v>
      </c>
      <c r="H20">
        <v>325</v>
      </c>
      <c r="I20">
        <v>384</v>
      </c>
      <c r="J20">
        <v>341</v>
      </c>
      <c r="K20">
        <v>364</v>
      </c>
    </row>
    <row r="21" spans="1:11" s="4" customFormat="1" x14ac:dyDescent="0.45">
      <c r="A21" s="3" t="s">
        <v>47</v>
      </c>
      <c r="B21">
        <v>2771</v>
      </c>
      <c r="C21">
        <v>2958</v>
      </c>
      <c r="D21">
        <v>3018</v>
      </c>
      <c r="E21">
        <v>2860</v>
      </c>
      <c r="F21">
        <v>2847</v>
      </c>
      <c r="G21">
        <v>3329</v>
      </c>
      <c r="H21">
        <v>3705</v>
      </c>
      <c r="I21">
        <v>3293</v>
      </c>
      <c r="J21">
        <v>3508</v>
      </c>
      <c r="K21">
        <v>3079</v>
      </c>
    </row>
    <row r="22" spans="1:11" s="4" customFormat="1" x14ac:dyDescent="0.45">
      <c r="A22" s="3" t="s">
        <v>48</v>
      </c>
      <c r="B22">
        <v>1620</v>
      </c>
      <c r="C22">
        <v>1745</v>
      </c>
      <c r="D22">
        <v>1747</v>
      </c>
      <c r="E22">
        <v>1691</v>
      </c>
      <c r="F22">
        <v>2229</v>
      </c>
      <c r="G22">
        <v>2399</v>
      </c>
      <c r="H22">
        <v>2665</v>
      </c>
      <c r="I22">
        <v>2782</v>
      </c>
      <c r="J22">
        <v>2715</v>
      </c>
      <c r="K22">
        <v>2843</v>
      </c>
    </row>
    <row r="23" spans="1:11" s="4" customFormat="1" x14ac:dyDescent="0.45">
      <c r="A23" s="3" t="s">
        <v>49</v>
      </c>
      <c r="B23">
        <v>6508</v>
      </c>
      <c r="C23">
        <v>7105</v>
      </c>
      <c r="D23">
        <v>7645</v>
      </c>
      <c r="E23">
        <v>7523</v>
      </c>
      <c r="F23">
        <v>7783</v>
      </c>
      <c r="G23">
        <v>8046</v>
      </c>
      <c r="H23">
        <v>8674</v>
      </c>
      <c r="I23">
        <v>10562</v>
      </c>
      <c r="J23">
        <v>9815</v>
      </c>
      <c r="K23">
        <v>9964</v>
      </c>
    </row>
    <row r="24" spans="1:11" s="4" customFormat="1" x14ac:dyDescent="0.45">
      <c r="A24" s="3" t="s">
        <v>50</v>
      </c>
      <c r="B24">
        <v>1366</v>
      </c>
      <c r="C24">
        <v>1394</v>
      </c>
      <c r="D24">
        <v>1466</v>
      </c>
      <c r="E24">
        <v>1591</v>
      </c>
      <c r="F24">
        <v>2116</v>
      </c>
      <c r="G24">
        <v>2260</v>
      </c>
      <c r="H24">
        <v>2154</v>
      </c>
      <c r="I24">
        <v>2668</v>
      </c>
      <c r="J24">
        <v>2786</v>
      </c>
      <c r="K24">
        <v>2773</v>
      </c>
    </row>
    <row r="25" spans="1:11" s="4" customFormat="1" x14ac:dyDescent="0.45">
      <c r="A25" s="4" t="s">
        <v>4</v>
      </c>
      <c r="B25">
        <v>767</v>
      </c>
      <c r="C25">
        <v>507</v>
      </c>
      <c r="D25">
        <v>437</v>
      </c>
      <c r="E25">
        <v>536</v>
      </c>
      <c r="F25">
        <v>286</v>
      </c>
      <c r="G25">
        <v>359</v>
      </c>
      <c r="H25">
        <v>578</v>
      </c>
      <c r="I25">
        <v>884</v>
      </c>
      <c r="J25">
        <v>1632</v>
      </c>
      <c r="K25">
        <v>5572</v>
      </c>
    </row>
    <row r="26" spans="1:11" s="4" customFormat="1" x14ac:dyDescent="0.45">
      <c r="A26" s="4" t="s">
        <v>5</v>
      </c>
      <c r="B26">
        <v>396</v>
      </c>
      <c r="C26">
        <v>478</v>
      </c>
      <c r="D26">
        <v>524</v>
      </c>
      <c r="E26">
        <v>938</v>
      </c>
      <c r="F26">
        <v>1012</v>
      </c>
      <c r="G26">
        <v>1025</v>
      </c>
      <c r="H26">
        <v>1030</v>
      </c>
      <c r="I26">
        <v>1097</v>
      </c>
      <c r="J26">
        <v>1122</v>
      </c>
      <c r="K26">
        <v>1186</v>
      </c>
    </row>
    <row r="27" spans="1:11" s="4" customFormat="1" x14ac:dyDescent="0.45">
      <c r="A27" s="4" t="s">
        <v>6</v>
      </c>
      <c r="B27">
        <v>22</v>
      </c>
      <c r="C27">
        <v>20</v>
      </c>
      <c r="D27">
        <v>28</v>
      </c>
      <c r="E27">
        <v>106</v>
      </c>
      <c r="F27">
        <v>108</v>
      </c>
      <c r="G27">
        <v>98</v>
      </c>
      <c r="H27">
        <v>101</v>
      </c>
      <c r="I27">
        <v>302</v>
      </c>
      <c r="J27">
        <v>350</v>
      </c>
      <c r="K27">
        <v>363</v>
      </c>
    </row>
    <row r="28" spans="1:11" s="4" customFormat="1" x14ac:dyDescent="0.45">
      <c r="A28" s="4" t="s">
        <v>7</v>
      </c>
      <c r="B28">
        <v>6396</v>
      </c>
      <c r="C28">
        <v>7285</v>
      </c>
      <c r="D28">
        <v>8522</v>
      </c>
      <c r="E28">
        <v>9092</v>
      </c>
      <c r="F28">
        <v>10490</v>
      </c>
      <c r="G28">
        <v>11739</v>
      </c>
      <c r="H28">
        <v>13079</v>
      </c>
      <c r="I28">
        <v>13675</v>
      </c>
      <c r="J28">
        <v>14304</v>
      </c>
      <c r="K28">
        <v>18487</v>
      </c>
    </row>
    <row r="29" spans="1:11" s="4" customFormat="1" x14ac:dyDescent="0.45">
      <c r="A29" s="4" t="s">
        <v>8</v>
      </c>
      <c r="B29">
        <v>1906</v>
      </c>
      <c r="C29">
        <v>2048</v>
      </c>
      <c r="D29">
        <v>2486</v>
      </c>
      <c r="E29">
        <v>2354</v>
      </c>
      <c r="F29">
        <v>2536</v>
      </c>
      <c r="G29">
        <v>2921</v>
      </c>
      <c r="H29">
        <v>3117</v>
      </c>
      <c r="I29">
        <v>3561</v>
      </c>
      <c r="J29">
        <v>3660</v>
      </c>
      <c r="K29">
        <v>3060</v>
      </c>
    </row>
    <row r="30" spans="1:11" s="4" customFormat="1" x14ac:dyDescent="0.45">
      <c r="A30" s="4" t="s">
        <v>9</v>
      </c>
      <c r="B30">
        <v>4490</v>
      </c>
      <c r="C30">
        <v>5237</v>
      </c>
      <c r="D30">
        <v>6036</v>
      </c>
      <c r="E30">
        <v>6738</v>
      </c>
      <c r="F30">
        <v>7954</v>
      </c>
      <c r="G30">
        <v>8818</v>
      </c>
      <c r="H30">
        <v>9962</v>
      </c>
      <c r="I30">
        <v>10114</v>
      </c>
      <c r="J30">
        <v>10644</v>
      </c>
      <c r="K30">
        <v>15427</v>
      </c>
    </row>
    <row r="31" spans="1:11" s="4" customFormat="1" x14ac:dyDescent="0.45">
      <c r="A31" s="4" t="s">
        <v>34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 s="4" customFormat="1" x14ac:dyDescent="0.45">
      <c r="A32" s="4" t="s">
        <v>190</v>
      </c>
      <c r="B32" s="4">
        <f>SUM(B28,B27,B26)</f>
        <v>6814</v>
      </c>
      <c r="C32" s="4">
        <f t="shared" ref="C32:K32" si="0">SUM(C28,C27,C26)</f>
        <v>7783</v>
      </c>
      <c r="D32" s="4">
        <f t="shared" si="0"/>
        <v>9074</v>
      </c>
      <c r="E32" s="4">
        <f t="shared" si="0"/>
        <v>10136</v>
      </c>
      <c r="F32" s="4">
        <f t="shared" si="0"/>
        <v>11610</v>
      </c>
      <c r="G32" s="4">
        <f t="shared" si="0"/>
        <v>12862</v>
      </c>
      <c r="H32" s="4">
        <f t="shared" si="0"/>
        <v>14210</v>
      </c>
      <c r="I32" s="4">
        <f t="shared" si="0"/>
        <v>15074</v>
      </c>
      <c r="J32" s="4">
        <f t="shared" si="0"/>
        <v>15776</v>
      </c>
      <c r="K32" s="4">
        <f t="shared" si="0"/>
        <v>20036</v>
      </c>
    </row>
    <row r="33" spans="1:11" x14ac:dyDescent="0.45">
      <c r="A33" s="4" t="s">
        <v>215</v>
      </c>
      <c r="B33" s="3">
        <f>B28+B27</f>
        <v>6418</v>
      </c>
      <c r="C33" s="3">
        <f t="shared" ref="C33:K33" si="1">C28+C27</f>
        <v>7305</v>
      </c>
      <c r="D33" s="3">
        <f t="shared" si="1"/>
        <v>8550</v>
      </c>
      <c r="E33" s="3">
        <f t="shared" si="1"/>
        <v>9198</v>
      </c>
      <c r="F33" s="3">
        <f t="shared" si="1"/>
        <v>10598</v>
      </c>
      <c r="G33" s="3">
        <f t="shared" si="1"/>
        <v>11837</v>
      </c>
      <c r="H33" s="3">
        <f t="shared" si="1"/>
        <v>13180</v>
      </c>
      <c r="I33" s="3">
        <f t="shared" si="1"/>
        <v>13977</v>
      </c>
      <c r="J33" s="3">
        <f t="shared" si="1"/>
        <v>14654</v>
      </c>
      <c r="K33" s="3">
        <f t="shared" si="1"/>
        <v>18850</v>
      </c>
    </row>
    <row r="34" spans="1:11" x14ac:dyDescent="0.45">
      <c r="A34" s="4"/>
    </row>
    <row r="35" spans="1:11" x14ac:dyDescent="0.45">
      <c r="A35" s="4"/>
    </row>
    <row r="36" spans="1:11" x14ac:dyDescent="0.45">
      <c r="A36" s="4"/>
    </row>
    <row r="37" spans="1:11" x14ac:dyDescent="0.45">
      <c r="A37" s="4"/>
    </row>
    <row r="38" spans="1:11" x14ac:dyDescent="0.45">
      <c r="A38" s="4"/>
    </row>
    <row r="39" spans="1:11" x14ac:dyDescent="0.45">
      <c r="A39" s="4"/>
    </row>
    <row r="40" spans="1:11" x14ac:dyDescent="0.45">
      <c r="A40" s="1" t="s">
        <v>24</v>
      </c>
    </row>
    <row r="41" spans="1:11" s="7" customFormat="1" x14ac:dyDescent="0.45">
      <c r="A41" s="6" t="s">
        <v>23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4" customFormat="1" x14ac:dyDescent="0.45">
      <c r="A42" s="4" t="s">
        <v>1</v>
      </c>
      <c r="B42">
        <v>14857</v>
      </c>
      <c r="C42">
        <v>15339</v>
      </c>
      <c r="D42">
        <v>15508</v>
      </c>
      <c r="E42">
        <v>15146</v>
      </c>
      <c r="F42">
        <v>14734</v>
      </c>
      <c r="G42">
        <v>15174</v>
      </c>
      <c r="H42">
        <v>15263</v>
      </c>
      <c r="I42">
        <v>15805</v>
      </c>
      <c r="J42">
        <v>15733</v>
      </c>
      <c r="K42">
        <v>16657</v>
      </c>
    </row>
    <row r="43" spans="1:11" s="4" customFormat="1" x14ac:dyDescent="0.45">
      <c r="A43" s="4" t="s">
        <v>2</v>
      </c>
      <c r="B43">
        <v>11422</v>
      </c>
      <c r="C43">
        <v>11733</v>
      </c>
      <c r="D43">
        <v>11861</v>
      </c>
      <c r="E43">
        <v>11582</v>
      </c>
      <c r="F43">
        <v>11268</v>
      </c>
      <c r="G43">
        <v>11694</v>
      </c>
      <c r="H43">
        <v>11644</v>
      </c>
      <c r="I43">
        <v>12165</v>
      </c>
      <c r="J43">
        <v>12008</v>
      </c>
      <c r="K43">
        <v>12889</v>
      </c>
    </row>
    <row r="44" spans="1:11" s="4" customFormat="1" x14ac:dyDescent="0.45">
      <c r="A44" s="4" t="s">
        <v>4</v>
      </c>
      <c r="B44">
        <v>203</v>
      </c>
      <c r="C44">
        <v>209</v>
      </c>
      <c r="D44">
        <v>293</v>
      </c>
      <c r="E44">
        <v>814</v>
      </c>
      <c r="F44">
        <v>254</v>
      </c>
      <c r="G44">
        <v>149</v>
      </c>
      <c r="H44">
        <v>350</v>
      </c>
      <c r="I44">
        <v>4594</v>
      </c>
      <c r="J44">
        <v>479</v>
      </c>
      <c r="K44">
        <v>158</v>
      </c>
    </row>
    <row r="45" spans="1:11" s="4" customFormat="1" x14ac:dyDescent="0.45">
      <c r="A45" s="4" t="s">
        <v>5</v>
      </c>
      <c r="B45">
        <v>289</v>
      </c>
      <c r="C45">
        <v>298</v>
      </c>
      <c r="D45">
        <v>305</v>
      </c>
      <c r="E45">
        <v>285</v>
      </c>
      <c r="F45">
        <v>284</v>
      </c>
      <c r="G45">
        <v>289</v>
      </c>
      <c r="H45">
        <v>288</v>
      </c>
      <c r="I45">
        <v>299</v>
      </c>
      <c r="J45">
        <v>310</v>
      </c>
      <c r="K45">
        <v>314</v>
      </c>
    </row>
    <row r="46" spans="1:11" s="4" customFormat="1" x14ac:dyDescent="0.45">
      <c r="A46" s="4" t="s">
        <v>6</v>
      </c>
      <c r="B46">
        <v>102</v>
      </c>
      <c r="C46">
        <v>85</v>
      </c>
      <c r="D46">
        <v>99</v>
      </c>
      <c r="E46">
        <v>102</v>
      </c>
      <c r="F46">
        <v>72</v>
      </c>
      <c r="G46">
        <v>105</v>
      </c>
      <c r="H46">
        <v>106</v>
      </c>
      <c r="I46">
        <v>84</v>
      </c>
      <c r="J46">
        <v>68</v>
      </c>
      <c r="K46">
        <v>64</v>
      </c>
    </row>
    <row r="47" spans="1:11" s="4" customFormat="1" x14ac:dyDescent="0.45">
      <c r="A47" s="4" t="s">
        <v>7</v>
      </c>
      <c r="B47">
        <v>3247</v>
      </c>
      <c r="C47">
        <v>3432</v>
      </c>
      <c r="D47">
        <v>3536</v>
      </c>
      <c r="E47">
        <v>3991</v>
      </c>
      <c r="F47">
        <v>3364</v>
      </c>
      <c r="G47">
        <v>3235</v>
      </c>
      <c r="H47">
        <v>3575</v>
      </c>
      <c r="I47">
        <v>7851</v>
      </c>
      <c r="J47">
        <v>3826</v>
      </c>
      <c r="K47">
        <v>3548</v>
      </c>
    </row>
    <row r="48" spans="1:11" s="4" customFormat="1" x14ac:dyDescent="0.45">
      <c r="A48" s="4" t="s">
        <v>8</v>
      </c>
      <c r="B48">
        <v>841</v>
      </c>
      <c r="C48">
        <v>894</v>
      </c>
      <c r="D48">
        <v>924</v>
      </c>
      <c r="E48">
        <v>990</v>
      </c>
      <c r="F48">
        <v>871</v>
      </c>
      <c r="G48">
        <v>503</v>
      </c>
      <c r="H48">
        <v>885</v>
      </c>
      <c r="I48">
        <v>776</v>
      </c>
      <c r="J48">
        <v>896</v>
      </c>
      <c r="K48">
        <v>917</v>
      </c>
    </row>
    <row r="49" spans="1:11" s="4" customFormat="1" x14ac:dyDescent="0.45">
      <c r="A49" s="4" t="s">
        <v>9</v>
      </c>
      <c r="B49">
        <v>2406</v>
      </c>
      <c r="C49">
        <v>2538</v>
      </c>
      <c r="D49">
        <v>2612</v>
      </c>
      <c r="E49">
        <v>3001</v>
      </c>
      <c r="F49">
        <v>2493</v>
      </c>
      <c r="G49">
        <v>2732</v>
      </c>
      <c r="H49">
        <v>2690</v>
      </c>
      <c r="I49">
        <v>7075</v>
      </c>
      <c r="J49">
        <v>2930</v>
      </c>
      <c r="K49">
        <v>2631</v>
      </c>
    </row>
    <row r="50" spans="1:11" x14ac:dyDescent="0.45">
      <c r="A50" s="4" t="s">
        <v>3</v>
      </c>
      <c r="B50">
        <v>3435</v>
      </c>
      <c r="C50">
        <v>3606</v>
      </c>
      <c r="D50">
        <v>3647</v>
      </c>
      <c r="E50">
        <v>3564</v>
      </c>
      <c r="F50">
        <v>3466</v>
      </c>
      <c r="G50">
        <v>3480</v>
      </c>
      <c r="H50">
        <v>3619</v>
      </c>
      <c r="I50">
        <v>3640</v>
      </c>
      <c r="J50">
        <v>3725</v>
      </c>
      <c r="K50">
        <v>3768</v>
      </c>
    </row>
    <row r="51" spans="1:11" x14ac:dyDescent="0.45">
      <c r="A51" s="4"/>
    </row>
    <row r="52" spans="1:11" x14ac:dyDescent="0.45">
      <c r="A52" s="4"/>
    </row>
    <row r="53" spans="1:11" x14ac:dyDescent="0.45">
      <c r="A53" s="4"/>
    </row>
    <row r="54" spans="1:11" x14ac:dyDescent="0.45">
      <c r="A54" s="4"/>
    </row>
    <row r="55" spans="1:11" x14ac:dyDescent="0.45">
      <c r="A55" s="1" t="s">
        <v>25</v>
      </c>
    </row>
    <row r="56" spans="1:11" s="7" customFormat="1" x14ac:dyDescent="0.45">
      <c r="A56" s="6" t="s">
        <v>23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45">
      <c r="A57" s="4" t="s">
        <v>10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45">
      <c r="A58" s="4" t="s">
        <v>11</v>
      </c>
      <c r="B58">
        <v>6274</v>
      </c>
      <c r="C58">
        <v>6859</v>
      </c>
      <c r="D58">
        <v>7443</v>
      </c>
      <c r="E58">
        <v>7815</v>
      </c>
      <c r="F58">
        <v>47199</v>
      </c>
      <c r="G58">
        <v>48525</v>
      </c>
      <c r="H58">
        <v>49986</v>
      </c>
      <c r="I58">
        <v>50738</v>
      </c>
      <c r="J58">
        <v>48918</v>
      </c>
      <c r="K58">
        <v>48988</v>
      </c>
    </row>
    <row r="59" spans="1:11" x14ac:dyDescent="0.45">
      <c r="A59" s="4" t="s">
        <v>35</v>
      </c>
      <c r="F59">
        <v>943</v>
      </c>
      <c r="G59">
        <v>971</v>
      </c>
      <c r="H59">
        <v>1039</v>
      </c>
      <c r="I59">
        <v>1374</v>
      </c>
      <c r="J59">
        <v>1537</v>
      </c>
      <c r="K59">
        <v>1325</v>
      </c>
    </row>
    <row r="60" spans="1:11" x14ac:dyDescent="0.45">
      <c r="A60" s="4" t="s">
        <v>36</v>
      </c>
      <c r="B60">
        <v>8261</v>
      </c>
      <c r="C60">
        <v>10074</v>
      </c>
      <c r="D60">
        <v>10206</v>
      </c>
      <c r="E60">
        <v>11571</v>
      </c>
      <c r="F60">
        <v>19739</v>
      </c>
      <c r="G60">
        <v>20006</v>
      </c>
      <c r="H60">
        <v>20565</v>
      </c>
      <c r="I60">
        <v>24729</v>
      </c>
      <c r="J60">
        <v>27623</v>
      </c>
      <c r="K60">
        <v>27434</v>
      </c>
    </row>
    <row r="61" spans="1:11" s="1" customFormat="1" x14ac:dyDescent="0.45">
      <c r="A61" s="1" t="s">
        <v>12</v>
      </c>
      <c r="B61">
        <v>14751</v>
      </c>
      <c r="C61">
        <v>17149</v>
      </c>
      <c r="D61">
        <v>17865</v>
      </c>
      <c r="E61">
        <v>19602</v>
      </c>
      <c r="F61">
        <v>68116</v>
      </c>
      <c r="G61">
        <v>69737</v>
      </c>
      <c r="H61">
        <v>71825</v>
      </c>
      <c r="I61">
        <v>77076</v>
      </c>
      <c r="J61">
        <v>78313</v>
      </c>
      <c r="K61">
        <v>77982</v>
      </c>
    </row>
    <row r="62" spans="1:11" x14ac:dyDescent="0.45">
      <c r="A62" s="4" t="s">
        <v>13</v>
      </c>
      <c r="B62">
        <v>4024</v>
      </c>
      <c r="C62">
        <v>4142</v>
      </c>
      <c r="D62">
        <v>4343</v>
      </c>
      <c r="E62">
        <v>5056</v>
      </c>
      <c r="F62">
        <v>51027</v>
      </c>
      <c r="G62">
        <v>51034</v>
      </c>
      <c r="H62">
        <v>51405</v>
      </c>
      <c r="I62">
        <v>52379</v>
      </c>
      <c r="J62">
        <v>52907</v>
      </c>
      <c r="K62">
        <v>52419</v>
      </c>
    </row>
    <row r="63" spans="1:11" x14ac:dyDescent="0.45">
      <c r="A63" s="4" t="s">
        <v>14</v>
      </c>
      <c r="B63">
        <v>203</v>
      </c>
      <c r="C63">
        <v>430</v>
      </c>
      <c r="D63">
        <v>373</v>
      </c>
      <c r="E63">
        <v>513</v>
      </c>
      <c r="F63">
        <v>623</v>
      </c>
      <c r="G63">
        <v>901</v>
      </c>
      <c r="H63">
        <v>1020</v>
      </c>
      <c r="I63">
        <v>915</v>
      </c>
      <c r="J63">
        <v>956</v>
      </c>
      <c r="K63">
        <v>833</v>
      </c>
    </row>
    <row r="64" spans="1:11" x14ac:dyDescent="0.45">
      <c r="A64" s="4" t="s">
        <v>15</v>
      </c>
      <c r="B64">
        <v>3779</v>
      </c>
      <c r="C64">
        <v>3111</v>
      </c>
      <c r="D64">
        <v>2949</v>
      </c>
      <c r="E64">
        <v>1500</v>
      </c>
      <c r="F64">
        <v>2995</v>
      </c>
      <c r="G64">
        <v>4122</v>
      </c>
      <c r="H64">
        <v>3794</v>
      </c>
      <c r="I64">
        <v>5493</v>
      </c>
      <c r="J64">
        <v>4602</v>
      </c>
      <c r="K64">
        <v>8879</v>
      </c>
    </row>
    <row r="65" spans="1:11" x14ac:dyDescent="0.45">
      <c r="A65" s="4" t="s">
        <v>37</v>
      </c>
      <c r="B65">
        <v>6745</v>
      </c>
      <c r="C65">
        <v>9466</v>
      </c>
      <c r="D65">
        <v>10200</v>
      </c>
      <c r="E65">
        <v>12533</v>
      </c>
      <c r="F65">
        <v>13471</v>
      </c>
      <c r="G65">
        <v>13680</v>
      </c>
      <c r="H65">
        <v>15606</v>
      </c>
      <c r="I65">
        <v>18289</v>
      </c>
      <c r="J65">
        <v>19848</v>
      </c>
      <c r="K65">
        <v>15851</v>
      </c>
    </row>
    <row r="66" spans="1:11" s="1" customFormat="1" x14ac:dyDescent="0.45">
      <c r="A66" s="1" t="s">
        <v>12</v>
      </c>
      <c r="B66">
        <v>14751</v>
      </c>
      <c r="C66">
        <v>17149</v>
      </c>
      <c r="D66">
        <v>17865</v>
      </c>
      <c r="E66">
        <v>19602</v>
      </c>
      <c r="F66">
        <v>68116</v>
      </c>
      <c r="G66">
        <v>69737</v>
      </c>
      <c r="H66">
        <v>71825</v>
      </c>
      <c r="I66">
        <v>77076</v>
      </c>
      <c r="J66">
        <v>78313</v>
      </c>
      <c r="K66">
        <v>77982</v>
      </c>
    </row>
    <row r="67" spans="1:11" s="4" customFormat="1" x14ac:dyDescent="0.45">
      <c r="A67" s="4" t="s">
        <v>42</v>
      </c>
      <c r="B67">
        <v>928</v>
      </c>
      <c r="C67">
        <v>1147</v>
      </c>
      <c r="D67">
        <v>1673</v>
      </c>
      <c r="E67">
        <v>1046</v>
      </c>
      <c r="F67">
        <v>1648</v>
      </c>
      <c r="G67">
        <v>1932</v>
      </c>
      <c r="H67">
        <v>2735</v>
      </c>
      <c r="I67">
        <v>2690</v>
      </c>
      <c r="J67">
        <v>3450</v>
      </c>
      <c r="K67">
        <v>3037</v>
      </c>
    </row>
    <row r="68" spans="1:11" x14ac:dyDescent="0.45">
      <c r="A68" s="4" t="s">
        <v>29</v>
      </c>
      <c r="B68">
        <v>2362</v>
      </c>
      <c r="C68">
        <v>2359</v>
      </c>
      <c r="D68">
        <v>2422</v>
      </c>
      <c r="E68">
        <v>2636</v>
      </c>
      <c r="F68">
        <v>3383</v>
      </c>
      <c r="G68">
        <v>3890</v>
      </c>
      <c r="H68">
        <v>4031</v>
      </c>
      <c r="I68">
        <v>3812</v>
      </c>
      <c r="J68">
        <v>4161</v>
      </c>
      <c r="K68">
        <v>4383</v>
      </c>
    </row>
    <row r="69" spans="1:11" x14ac:dyDescent="0.45">
      <c r="A69" s="3" t="s">
        <v>51</v>
      </c>
      <c r="B69">
        <v>1671</v>
      </c>
      <c r="C69">
        <v>3373</v>
      </c>
      <c r="D69">
        <v>3688</v>
      </c>
      <c r="E69">
        <v>5017</v>
      </c>
      <c r="F69">
        <v>4321</v>
      </c>
      <c r="G69">
        <v>3618</v>
      </c>
      <c r="H69">
        <v>4422</v>
      </c>
      <c r="I69">
        <v>7216</v>
      </c>
      <c r="J69">
        <v>7293</v>
      </c>
      <c r="K69">
        <v>2830</v>
      </c>
    </row>
    <row r="70" spans="1:11" x14ac:dyDescent="0.45">
      <c r="A70" s="3" t="s">
        <v>38</v>
      </c>
      <c r="B70">
        <v>2164349639</v>
      </c>
      <c r="C70">
        <v>2164704405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45">
      <c r="A71" s="3" t="s">
        <v>39</v>
      </c>
    </row>
    <row r="72" spans="1:11" x14ac:dyDescent="0.45">
      <c r="A72" s="3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45">
      <c r="A74" s="4" t="s">
        <v>216</v>
      </c>
      <c r="B74" s="3">
        <f>B65-SUM(B67:B69)</f>
        <v>1784</v>
      </c>
      <c r="C74" s="3">
        <f t="shared" ref="C74:K74" si="2">C65-SUM(C67:C69)</f>
        <v>2587</v>
      </c>
      <c r="D74" s="3">
        <f t="shared" si="2"/>
        <v>2417</v>
      </c>
      <c r="E74" s="3">
        <f t="shared" si="2"/>
        <v>3834</v>
      </c>
      <c r="F74" s="3">
        <f t="shared" si="2"/>
        <v>4119</v>
      </c>
      <c r="G74" s="3">
        <f t="shared" si="2"/>
        <v>4240</v>
      </c>
      <c r="H74" s="3">
        <f t="shared" si="2"/>
        <v>4418</v>
      </c>
      <c r="I74" s="3">
        <f t="shared" si="2"/>
        <v>4571</v>
      </c>
      <c r="J74" s="3">
        <f t="shared" si="2"/>
        <v>4944</v>
      </c>
      <c r="K74" s="3">
        <f t="shared" si="2"/>
        <v>5601</v>
      </c>
    </row>
    <row r="75" spans="1:11" x14ac:dyDescent="0.45">
      <c r="A75" s="4"/>
    </row>
    <row r="76" spans="1:11" x14ac:dyDescent="0.45">
      <c r="A76" s="4"/>
    </row>
    <row r="77" spans="1:11" x14ac:dyDescent="0.45">
      <c r="A77" s="4"/>
    </row>
    <row r="78" spans="1:11" x14ac:dyDescent="0.45">
      <c r="A78" s="4"/>
    </row>
    <row r="79" spans="1:11" x14ac:dyDescent="0.45">
      <c r="A79" s="4"/>
    </row>
    <row r="80" spans="1:11" x14ac:dyDescent="0.45">
      <c r="A80" s="1" t="s">
        <v>26</v>
      </c>
    </row>
    <row r="81" spans="1:11" s="7" customFormat="1" x14ac:dyDescent="0.45">
      <c r="A81" s="6" t="s">
        <v>23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45">
      <c r="A82" s="4" t="s">
        <v>17</v>
      </c>
      <c r="B82">
        <v>4953</v>
      </c>
      <c r="C82">
        <v>5913</v>
      </c>
      <c r="D82">
        <v>5728</v>
      </c>
      <c r="E82">
        <v>7305</v>
      </c>
      <c r="F82">
        <v>8957</v>
      </c>
      <c r="G82">
        <v>8964</v>
      </c>
      <c r="H82">
        <v>9626</v>
      </c>
      <c r="I82">
        <v>14884</v>
      </c>
      <c r="J82">
        <v>11606</v>
      </c>
      <c r="K82">
        <v>10496</v>
      </c>
    </row>
    <row r="83" spans="1:11" s="4" customFormat="1" x14ac:dyDescent="0.45">
      <c r="A83" s="4" t="s">
        <v>18</v>
      </c>
      <c r="B83">
        <v>-752</v>
      </c>
      <c r="C83">
        <v>-1261</v>
      </c>
      <c r="D83">
        <v>-264</v>
      </c>
      <c r="E83">
        <v>1926</v>
      </c>
      <c r="F83">
        <v>-1067</v>
      </c>
      <c r="G83">
        <v>-1732</v>
      </c>
      <c r="H83">
        <v>-1062</v>
      </c>
      <c r="I83">
        <v>-4971</v>
      </c>
      <c r="J83">
        <v>6763</v>
      </c>
      <c r="K83">
        <v>-3473</v>
      </c>
    </row>
    <row r="84" spans="1:11" s="4" customFormat="1" x14ac:dyDescent="0.45">
      <c r="A84" s="4" t="s">
        <v>19</v>
      </c>
      <c r="B84">
        <v>-4264</v>
      </c>
      <c r="C84">
        <v>-4651</v>
      </c>
      <c r="D84">
        <v>-5462</v>
      </c>
      <c r="E84">
        <v>-6676</v>
      </c>
      <c r="F84">
        <v>-9280</v>
      </c>
      <c r="G84">
        <v>-7984</v>
      </c>
      <c r="H84">
        <v>-8966</v>
      </c>
      <c r="I84">
        <v>-9890</v>
      </c>
      <c r="J84">
        <v>-13031</v>
      </c>
      <c r="K84">
        <v>-10684</v>
      </c>
    </row>
    <row r="85" spans="1:11" s="1" customFormat="1" x14ac:dyDescent="0.45">
      <c r="A85" s="4" t="s">
        <v>20</v>
      </c>
      <c r="B85">
        <v>-63</v>
      </c>
      <c r="C85">
        <v>1</v>
      </c>
      <c r="D85">
        <v>2</v>
      </c>
      <c r="E85">
        <v>2555</v>
      </c>
      <c r="F85">
        <v>-1390</v>
      </c>
      <c r="G85">
        <v>-752</v>
      </c>
      <c r="H85">
        <v>-402</v>
      </c>
      <c r="I85">
        <v>23</v>
      </c>
      <c r="J85">
        <v>5338</v>
      </c>
      <c r="K85">
        <v>-3661</v>
      </c>
    </row>
    <row r="86" spans="1:11" x14ac:dyDescent="0.45">
      <c r="A86" s="4"/>
    </row>
    <row r="87" spans="1:11" x14ac:dyDescent="0.45">
      <c r="A87" s="4"/>
    </row>
    <row r="88" spans="1:11" x14ac:dyDescent="0.45">
      <c r="A88" s="4"/>
    </row>
    <row r="89" spans="1:11" x14ac:dyDescent="0.45">
      <c r="A89" s="4"/>
    </row>
    <row r="90" spans="1:11" s="1" customFormat="1" x14ac:dyDescent="0.45">
      <c r="A90" s="1" t="s">
        <v>41</v>
      </c>
      <c r="B90">
        <v>872.61</v>
      </c>
      <c r="C90">
        <v>1276.1099999999999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2055.1999999999998</v>
      </c>
    </row>
    <row r="92" spans="1:11" s="1" customFormat="1" x14ac:dyDescent="0.45">
      <c r="A92" s="1" t="s">
        <v>40</v>
      </c>
    </row>
    <row r="93" spans="1:11" x14ac:dyDescent="0.45">
      <c r="A93" s="3" t="s">
        <v>53</v>
      </c>
      <c r="B93" s="8">
        <v>216.43</v>
      </c>
      <c r="C93" s="8">
        <v>216.45</v>
      </c>
      <c r="D93" s="8">
        <v>216.47</v>
      </c>
      <c r="E93" s="8">
        <v>216.48</v>
      </c>
      <c r="F93" s="8">
        <v>234.96</v>
      </c>
      <c r="G93" s="8">
        <v>234.96</v>
      </c>
      <c r="H93" s="8">
        <v>234.96</v>
      </c>
      <c r="I93" s="8">
        <v>234.96</v>
      </c>
      <c r="J93" s="8">
        <v>234.96</v>
      </c>
      <c r="K93" s="8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5763-1B50-4FC3-BA20-398947E2511C}">
  <dimension ref="A1:W101"/>
  <sheetViews>
    <sheetView showGridLines="0" tabSelected="1" zoomScaleNormal="100" workbookViewId="0">
      <pane xSplit="2" ySplit="2" topLeftCell="C41" activePane="bottomRight" state="frozen"/>
      <selection pane="topRight" activeCell="C1" sqref="C1"/>
      <selection pane="bottomLeft" activeCell="A3" sqref="A3"/>
      <selection pane="bottomRight" activeCell="A99" sqref="A99:XFD99"/>
    </sheetView>
  </sheetViews>
  <sheetFormatPr defaultColWidth="9" defaultRowHeight="14.25" x14ac:dyDescent="0.45"/>
  <cols>
    <col min="1" max="1" width="1.59765625" style="28" bestFit="1" customWidth="1"/>
    <col min="2" max="2" width="28.9296875" style="34" bestFit="1" customWidth="1"/>
    <col min="3" max="12" width="9.9296875" style="63" bestFit="1" customWidth="1"/>
    <col min="13" max="17" width="9.796875" style="63" bestFit="1" customWidth="1"/>
    <col min="18" max="16384" width="9" style="28"/>
  </cols>
  <sheetData>
    <row r="1" spans="1:23" ht="18" x14ac:dyDescent="0.55000000000000004">
      <c r="B1" s="219" t="str">
        <f>"Historical Financial Statement for "&amp;'Data Sheet'!B1</f>
        <v>Historical Financial Statement for HINDUSTAN UNILEVER LTD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</row>
    <row r="2" spans="1:23" s="45" customFormat="1" ht="15.75" x14ac:dyDescent="0.5">
      <c r="B2" s="43" t="str">
        <f>'Data Sheet'!A16</f>
        <v>Report Date</v>
      </c>
      <c r="C2" s="55">
        <f>'Data Sheet'!B16</f>
        <v>42825</v>
      </c>
      <c r="D2" s="55">
        <f>'Data Sheet'!C16</f>
        <v>43190</v>
      </c>
      <c r="E2" s="55">
        <f>'Data Sheet'!D16</f>
        <v>43555</v>
      </c>
      <c r="F2" s="55">
        <f>'Data Sheet'!E16</f>
        <v>43921</v>
      </c>
      <c r="G2" s="55">
        <f>'Data Sheet'!F16</f>
        <v>44286</v>
      </c>
      <c r="H2" s="55">
        <f>'Data Sheet'!G16</f>
        <v>44651</v>
      </c>
      <c r="I2" s="55">
        <f>'Data Sheet'!H16</f>
        <v>45016</v>
      </c>
      <c r="J2" s="55">
        <f>'Data Sheet'!I16</f>
        <v>45382</v>
      </c>
      <c r="K2" s="55">
        <f>'Data Sheet'!J16</f>
        <v>45747</v>
      </c>
      <c r="L2" s="55">
        <f>'Data Sheet'!K16</f>
        <v>46112</v>
      </c>
      <c r="M2" s="56">
        <f>L2+365</f>
        <v>46477</v>
      </c>
      <c r="N2" s="56">
        <f t="shared" ref="N2:Q2" si="0">M2+365</f>
        <v>46842</v>
      </c>
      <c r="O2" s="56">
        <f t="shared" si="0"/>
        <v>47207</v>
      </c>
      <c r="P2" s="56">
        <f t="shared" si="0"/>
        <v>47572</v>
      </c>
      <c r="Q2" s="56">
        <f t="shared" si="0"/>
        <v>47937</v>
      </c>
    </row>
    <row r="3" spans="1:23" s="29" customFormat="1" x14ac:dyDescent="0.45">
      <c r="B3" s="23"/>
      <c r="C3" s="60"/>
      <c r="D3" s="60"/>
      <c r="E3" s="60"/>
      <c r="F3" s="60"/>
      <c r="G3" s="60"/>
      <c r="H3" s="60"/>
      <c r="I3" s="60"/>
      <c r="J3" s="60"/>
      <c r="K3" s="60"/>
      <c r="L3" s="60"/>
      <c r="M3" s="61">
        <f>L5*(1+0.07)</f>
        <v>66313.25</v>
      </c>
      <c r="N3" s="61">
        <f t="shared" ref="N3:Q3" si="1">M5*(1+0.07)</f>
        <v>74551.321569080785</v>
      </c>
      <c r="O3" s="61">
        <f t="shared" si="1"/>
        <v>78581.33278172616</v>
      </c>
      <c r="P3" s="61">
        <f>O5*(1+0.07)</f>
        <v>82622.354871319563</v>
      </c>
      <c r="Q3" s="61">
        <f t="shared" si="1"/>
        <v>86663.407210574922</v>
      </c>
      <c r="R3" s="180">
        <f>_xlfn.RRI(15,C5,Q3)</f>
        <v>6.8920524291529617E-2</v>
      </c>
      <c r="S3" s="181">
        <f>M3-L5</f>
        <v>4338.25</v>
      </c>
      <c r="T3" s="181">
        <f>N3-M3</f>
        <v>8238.0715690807847</v>
      </c>
      <c r="U3" s="181">
        <f t="shared" ref="U3:W3" si="2">O3-N3</f>
        <v>4030.0112126453751</v>
      </c>
      <c r="V3" s="181">
        <f t="shared" si="2"/>
        <v>4041.0220895934035</v>
      </c>
      <c r="W3" s="181">
        <f t="shared" si="2"/>
        <v>4041.0523392553587</v>
      </c>
    </row>
    <row r="4" spans="1:23" x14ac:dyDescent="0.45">
      <c r="A4" s="30" t="s">
        <v>54</v>
      </c>
      <c r="B4" s="27" t="s">
        <v>105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31"/>
      <c r="S4" s="31"/>
      <c r="T4" s="182"/>
      <c r="U4" s="31"/>
      <c r="V4" s="31"/>
      <c r="W4" s="31"/>
    </row>
    <row r="5" spans="1:23" x14ac:dyDescent="0.45">
      <c r="B5" s="34" t="str">
        <f>'Data Sheet'!A17</f>
        <v>Sales</v>
      </c>
      <c r="C5" s="63">
        <f>'Data Sheet'!B17</f>
        <v>31890</v>
      </c>
      <c r="D5" s="63">
        <f>'Data Sheet'!C17</f>
        <v>34525</v>
      </c>
      <c r="E5" s="63">
        <f>'Data Sheet'!D17</f>
        <v>38224</v>
      </c>
      <c r="F5" s="63">
        <f>'Data Sheet'!E17</f>
        <v>38785</v>
      </c>
      <c r="G5" s="63">
        <f>'Data Sheet'!F17</f>
        <v>45996</v>
      </c>
      <c r="H5" s="63">
        <f>'Data Sheet'!G17</f>
        <v>51193</v>
      </c>
      <c r="I5" s="63">
        <f>'Data Sheet'!H17</f>
        <v>59144</v>
      </c>
      <c r="J5" s="63">
        <f>'Data Sheet'!I17</f>
        <v>60469</v>
      </c>
      <c r="K5" s="63">
        <f>'Data Sheet'!J17</f>
        <v>59676</v>
      </c>
      <c r="L5" s="63">
        <f>'Data Sheet'!K17</f>
        <v>61975</v>
      </c>
      <c r="M5" s="64">
        <f>_xlfn.FORECAST.ETS(M$2,$C5:$L5,$C$2:$L$2)</f>
        <v>69674.132307552136</v>
      </c>
      <c r="N5" s="64">
        <f t="shared" ref="N5:Q5" si="3">_xlfn.FORECAST.ETS(N$2,$C5:$L5,$C$2:$L$2)</f>
        <v>73440.497926846874</v>
      </c>
      <c r="O5" s="64">
        <f t="shared" si="3"/>
        <v>77217.154085345377</v>
      </c>
      <c r="P5" s="64">
        <f t="shared" si="3"/>
        <v>80993.838514556002</v>
      </c>
      <c r="Q5" s="64">
        <f t="shared" si="3"/>
        <v>84770.522943766613</v>
      </c>
      <c r="R5" s="182">
        <f>(Q5/C5)^(1/15)-1</f>
        <v>6.7347956323918767E-2</v>
      </c>
      <c r="S5" s="183">
        <f>M5-L5</f>
        <v>7699.1323075521359</v>
      </c>
      <c r="T5" s="31">
        <f>N5-M5</f>
        <v>3766.3656192947383</v>
      </c>
      <c r="U5" s="31">
        <f t="shared" ref="U5:W5" si="4">O5-N5</f>
        <v>3776.6561584985029</v>
      </c>
      <c r="V5" s="31">
        <f t="shared" si="4"/>
        <v>3776.6844292106252</v>
      </c>
      <c r="W5" s="31">
        <f t="shared" si="4"/>
        <v>3776.6844292106107</v>
      </c>
    </row>
    <row r="6" spans="1:23" x14ac:dyDescent="0.45">
      <c r="B6" s="35" t="s">
        <v>55</v>
      </c>
      <c r="C6" s="65">
        <f>IFERROR((C5/B5)-1,(C5/C5)-1)</f>
        <v>0</v>
      </c>
      <c r="D6" s="65">
        <f t="shared" ref="D6:L6" si="5">IFERROR((D5/C5)-1,(D5/D5)-1)</f>
        <v>8.2627783004076472E-2</v>
      </c>
      <c r="E6" s="65">
        <f t="shared" si="5"/>
        <v>0.10713975380159302</v>
      </c>
      <c r="F6" s="65">
        <f t="shared" si="5"/>
        <v>1.467664294683968E-2</v>
      </c>
      <c r="G6" s="65">
        <f t="shared" si="5"/>
        <v>0.18592239267758148</v>
      </c>
      <c r="H6" s="65">
        <f t="shared" si="5"/>
        <v>0.11298808592051479</v>
      </c>
      <c r="I6" s="65">
        <f t="shared" si="5"/>
        <v>0.15531420311370692</v>
      </c>
      <c r="J6" s="65">
        <f t="shared" si="5"/>
        <v>2.240294873529014E-2</v>
      </c>
      <c r="K6" s="65">
        <f t="shared" si="5"/>
        <v>-1.3114157667565185E-2</v>
      </c>
      <c r="L6" s="65">
        <f t="shared" si="5"/>
        <v>3.8524700046919991E-2</v>
      </c>
      <c r="M6" s="66">
        <f t="shared" ref="M6" si="6">IFERROR((M5/L5)-1,(M5/M5)-1)</f>
        <v>0.12422964594678709</v>
      </c>
      <c r="N6" s="66">
        <f t="shared" ref="N6" si="7">IFERROR((N5/M5)-1,(N5/N5)-1)</f>
        <v>5.4056871532600193E-2</v>
      </c>
      <c r="O6" s="66">
        <f t="shared" ref="O6" si="8">IFERROR((O5/N5)-1,(O5/O5)-1)</f>
        <v>5.1424707962361316E-2</v>
      </c>
      <c r="P6" s="66">
        <f t="shared" ref="P6" si="9">IFERROR((P5/O5)-1,(P5/P5)-1)</f>
        <v>4.8909914823283884E-2</v>
      </c>
      <c r="Q6" s="66">
        <f t="shared" ref="Q6" si="10">IFERROR((Q5/P5)-1,(Q5/Q5)-1)</f>
        <v>4.6629280677095819E-2</v>
      </c>
    </row>
    <row r="7" spans="1:23" x14ac:dyDescent="0.45">
      <c r="B7" s="34" t="s">
        <v>212</v>
      </c>
      <c r="C7" s="63">
        <f>SUM('Data Sheet'!B18,'Data Sheet'!B20:B22)-('Data Sheet'!B19)</f>
        <v>17969</v>
      </c>
      <c r="D7" s="63">
        <f>SUM('Data Sheet'!C18,'Data Sheet'!C20:C22)-('Data Sheet'!C19)</f>
        <v>18750</v>
      </c>
      <c r="E7" s="63">
        <f>SUM('Data Sheet'!D18,'Data Sheet'!D20:D22)-('Data Sheet'!D19)</f>
        <v>20476</v>
      </c>
      <c r="F7" s="63">
        <f>SUM('Data Sheet'!E18,'Data Sheet'!E20:E22)-('Data Sheet'!E19)</f>
        <v>20071</v>
      </c>
      <c r="G7" s="63">
        <f>SUM('Data Sheet'!F18,'Data Sheet'!F20:F22)-('Data Sheet'!F19)</f>
        <v>24773</v>
      </c>
      <c r="H7" s="63">
        <f>SUM('Data Sheet'!G18,'Data Sheet'!G20:G22)-('Data Sheet'!G19)</f>
        <v>28384</v>
      </c>
      <c r="I7" s="63">
        <f>SUM('Data Sheet'!H18,'Data Sheet'!H20:H22)-('Data Sheet'!H19)</f>
        <v>34684</v>
      </c>
      <c r="J7" s="63">
        <f>SUM('Data Sheet'!I18,'Data Sheet'!I20:I22)-('Data Sheet'!I19)</f>
        <v>33049</v>
      </c>
      <c r="K7" s="63">
        <f>SUM('Data Sheet'!J18,'Data Sheet'!J20:J22)-('Data Sheet'!J19)</f>
        <v>32931</v>
      </c>
      <c r="L7" s="63">
        <f>SUM('Data Sheet'!K18,'Data Sheet'!K20:K22)-('Data Sheet'!K19)</f>
        <v>34774</v>
      </c>
      <c r="M7" s="64">
        <f>Calculation!L5</f>
        <v>38311.554833676098</v>
      </c>
      <c r="N7" s="64">
        <f>Calculation!M5</f>
        <v>40282.675084096605</v>
      </c>
      <c r="O7" s="64">
        <f>Calculation!N5</f>
        <v>42396.074214905646</v>
      </c>
      <c r="P7" s="64">
        <f>Calculation!O5</f>
        <v>44577.915381254359</v>
      </c>
      <c r="Q7" s="64">
        <f>Calculation!P5</f>
        <v>46935.38400742464</v>
      </c>
    </row>
    <row r="8" spans="1:23" x14ac:dyDescent="0.45">
      <c r="B8" s="34" t="s">
        <v>213</v>
      </c>
      <c r="C8" s="63">
        <f t="shared" ref="C8:Q8" si="11">C5-C7</f>
        <v>13921</v>
      </c>
      <c r="D8" s="63">
        <f t="shared" si="11"/>
        <v>15775</v>
      </c>
      <c r="E8" s="63">
        <f t="shared" si="11"/>
        <v>17748</v>
      </c>
      <c r="F8" s="63">
        <f t="shared" si="11"/>
        <v>18714</v>
      </c>
      <c r="G8" s="63">
        <f t="shared" si="11"/>
        <v>21223</v>
      </c>
      <c r="H8" s="63">
        <f t="shared" si="11"/>
        <v>22809</v>
      </c>
      <c r="I8" s="63">
        <f t="shared" si="11"/>
        <v>24460</v>
      </c>
      <c r="J8" s="63">
        <f t="shared" si="11"/>
        <v>27420</v>
      </c>
      <c r="K8" s="63">
        <f t="shared" si="11"/>
        <v>26745</v>
      </c>
      <c r="L8" s="63">
        <f t="shared" si="11"/>
        <v>27201</v>
      </c>
      <c r="M8" s="64">
        <f t="shared" si="11"/>
        <v>31362.577473876037</v>
      </c>
      <c r="N8" s="64">
        <f t="shared" si="11"/>
        <v>33157.822842750269</v>
      </c>
      <c r="O8" s="64">
        <f t="shared" si="11"/>
        <v>34821.079870439731</v>
      </c>
      <c r="P8" s="64">
        <f t="shared" si="11"/>
        <v>36415.923133301643</v>
      </c>
      <c r="Q8" s="64">
        <f t="shared" si="11"/>
        <v>37835.138936341973</v>
      </c>
    </row>
    <row r="9" spans="1:23" x14ac:dyDescent="0.45">
      <c r="B9" s="35" t="s">
        <v>115</v>
      </c>
      <c r="C9" s="65">
        <f t="shared" ref="C9:Q9" si="12">C8/C5</f>
        <v>0.43653182815929759</v>
      </c>
      <c r="D9" s="65">
        <f t="shared" si="12"/>
        <v>0.4569152787834902</v>
      </c>
      <c r="E9" s="65">
        <f t="shared" si="12"/>
        <v>0.46431561322729176</v>
      </c>
      <c r="F9" s="65">
        <f t="shared" si="12"/>
        <v>0.48250612350135363</v>
      </c>
      <c r="G9" s="65">
        <f t="shared" si="12"/>
        <v>0.46140968779893904</v>
      </c>
      <c r="H9" s="65">
        <f t="shared" si="12"/>
        <v>0.44554919617916511</v>
      </c>
      <c r="I9" s="65">
        <f t="shared" si="12"/>
        <v>0.41356688759637494</v>
      </c>
      <c r="J9" s="65">
        <f t="shared" si="12"/>
        <v>0.45345548958970711</v>
      </c>
      <c r="K9" s="65">
        <f t="shared" si="12"/>
        <v>0.44817011864065959</v>
      </c>
      <c r="L9" s="65">
        <f t="shared" si="12"/>
        <v>0.43890278338039534</v>
      </c>
      <c r="M9" s="66">
        <f t="shared" si="12"/>
        <v>0.45013230068566751</v>
      </c>
      <c r="N9" s="66">
        <f t="shared" si="12"/>
        <v>0.45149234793830434</v>
      </c>
      <c r="O9" s="66">
        <f t="shared" si="12"/>
        <v>0.45095005485378586</v>
      </c>
      <c r="P9" s="66">
        <f t="shared" si="12"/>
        <v>0.44961349901643527</v>
      </c>
      <c r="Q9" s="66">
        <f t="shared" si="12"/>
        <v>0.44632423656794351</v>
      </c>
    </row>
    <row r="10" spans="1:23" x14ac:dyDescent="0.45">
      <c r="M10" s="64"/>
      <c r="N10" s="64"/>
      <c r="O10" s="64"/>
      <c r="P10" s="64"/>
      <c r="Q10" s="64"/>
    </row>
    <row r="11" spans="1:23" x14ac:dyDescent="0.45">
      <c r="B11" s="34" t="str">
        <f>'Data Sheet'!A23</f>
        <v>Selling and admin</v>
      </c>
      <c r="C11" s="63">
        <f>'Data Sheet'!B23</f>
        <v>6508</v>
      </c>
      <c r="D11" s="63">
        <f>'Data Sheet'!C23</f>
        <v>7105</v>
      </c>
      <c r="E11" s="63">
        <f>'Data Sheet'!D23</f>
        <v>7645</v>
      </c>
      <c r="F11" s="63">
        <f>'Data Sheet'!E23</f>
        <v>7523</v>
      </c>
      <c r="G11" s="63">
        <f>'Data Sheet'!F23</f>
        <v>7783</v>
      </c>
      <c r="H11" s="63">
        <f>'Data Sheet'!G23</f>
        <v>8046</v>
      </c>
      <c r="I11" s="63">
        <f>'Data Sheet'!H23</f>
        <v>8674</v>
      </c>
      <c r="J11" s="63">
        <f>'Data Sheet'!I23</f>
        <v>10562</v>
      </c>
      <c r="K11" s="63">
        <f>'Data Sheet'!J23</f>
        <v>9815</v>
      </c>
      <c r="L11" s="63">
        <f>'Data Sheet'!K23</f>
        <v>9964</v>
      </c>
      <c r="M11" s="64">
        <f>Calculation!L9</f>
        <v>11298.279379946312</v>
      </c>
      <c r="N11" s="64">
        <f>Calculation!M9</f>
        <v>11822.718262724042</v>
      </c>
      <c r="O11" s="64">
        <f>Calculation!N9</f>
        <v>12479.77871936257</v>
      </c>
      <c r="P11" s="64">
        <f>Calculation!O9</f>
        <v>13292.111654942117</v>
      </c>
      <c r="Q11" s="64">
        <f>Calculation!P9</f>
        <v>13762.782354427713</v>
      </c>
    </row>
    <row r="12" spans="1:23" x14ac:dyDescent="0.45">
      <c r="B12" s="34" t="str">
        <f>'Data Sheet'!A24</f>
        <v>Other Expenses</v>
      </c>
      <c r="C12" s="63">
        <f>'Data Sheet'!B24</f>
        <v>1366</v>
      </c>
      <c r="D12" s="63">
        <f>'Data Sheet'!C24</f>
        <v>1394</v>
      </c>
      <c r="E12" s="63">
        <f>'Data Sheet'!D24</f>
        <v>1466</v>
      </c>
      <c r="F12" s="63">
        <f>'Data Sheet'!E24</f>
        <v>1591</v>
      </c>
      <c r="G12" s="63">
        <f>'Data Sheet'!F24</f>
        <v>2116</v>
      </c>
      <c r="H12" s="63">
        <f>'Data Sheet'!G24</f>
        <v>2260</v>
      </c>
      <c r="I12" s="63">
        <f>'Data Sheet'!H24</f>
        <v>2154</v>
      </c>
      <c r="J12" s="63">
        <f>'Data Sheet'!I24</f>
        <v>2668</v>
      </c>
      <c r="K12" s="63">
        <f>'Data Sheet'!J24</f>
        <v>2786</v>
      </c>
      <c r="L12" s="63">
        <f>'Data Sheet'!K24</f>
        <v>2773</v>
      </c>
      <c r="M12" s="64">
        <f>Calculation!L13</f>
        <v>2959.105515158767</v>
      </c>
      <c r="N12" s="64">
        <f>Calculation!M13</f>
        <v>3116.3915560472647</v>
      </c>
      <c r="O12" s="64">
        <f>Calculation!N13</f>
        <v>3292.5400485524151</v>
      </c>
      <c r="P12" s="64">
        <f>Calculation!O13</f>
        <v>3488.3010979318387</v>
      </c>
      <c r="Q12" s="64">
        <f>Calculation!P13</f>
        <v>3668.3166010761602</v>
      </c>
    </row>
    <row r="13" spans="1:23" x14ac:dyDescent="0.45">
      <c r="B13" s="34" t="s">
        <v>190</v>
      </c>
      <c r="C13" s="63">
        <f>C8-SUM(C11:C12)</f>
        <v>6047</v>
      </c>
      <c r="D13" s="63">
        <f t="shared" ref="D13:Q13" si="13">D8-SUM(D11:D12)</f>
        <v>7276</v>
      </c>
      <c r="E13" s="63">
        <f t="shared" si="13"/>
        <v>8637</v>
      </c>
      <c r="F13" s="63">
        <f t="shared" si="13"/>
        <v>9600</v>
      </c>
      <c r="G13" s="63">
        <f t="shared" si="13"/>
        <v>11324</v>
      </c>
      <c r="H13" s="63">
        <f t="shared" si="13"/>
        <v>12503</v>
      </c>
      <c r="I13" s="63">
        <f t="shared" si="13"/>
        <v>13632</v>
      </c>
      <c r="J13" s="63">
        <f t="shared" si="13"/>
        <v>14190</v>
      </c>
      <c r="K13" s="63">
        <f t="shared" si="13"/>
        <v>14144</v>
      </c>
      <c r="L13" s="63">
        <f t="shared" si="13"/>
        <v>14464</v>
      </c>
      <c r="M13" s="64">
        <f t="shared" si="13"/>
        <v>17105.192578770959</v>
      </c>
      <c r="N13" s="64">
        <f t="shared" si="13"/>
        <v>18218.713023978962</v>
      </c>
      <c r="O13" s="64">
        <f t="shared" si="13"/>
        <v>19048.761102524746</v>
      </c>
      <c r="P13" s="64">
        <f t="shared" si="13"/>
        <v>19635.510380427688</v>
      </c>
      <c r="Q13" s="64">
        <f t="shared" si="13"/>
        <v>20404.039980838101</v>
      </c>
    </row>
    <row r="14" spans="1:23" x14ac:dyDescent="0.45">
      <c r="B14" s="35" t="s">
        <v>116</v>
      </c>
      <c r="C14" s="65">
        <f t="shared" ref="C14:Q14" si="14">C13/C5</f>
        <v>0.1896205707118219</v>
      </c>
      <c r="D14" s="65">
        <f t="shared" si="14"/>
        <v>0.21074583635047067</v>
      </c>
      <c r="E14" s="65">
        <f t="shared" si="14"/>
        <v>0.22595751360401842</v>
      </c>
      <c r="F14" s="65">
        <f t="shared" si="14"/>
        <v>0.24751837050406084</v>
      </c>
      <c r="G14" s="65">
        <f t="shared" si="14"/>
        <v>0.24619532133228977</v>
      </c>
      <c r="H14" s="65">
        <f t="shared" si="14"/>
        <v>0.24423260992713847</v>
      </c>
      <c r="I14" s="65">
        <f t="shared" si="14"/>
        <v>0.23048829974300014</v>
      </c>
      <c r="J14" s="65">
        <f t="shared" si="14"/>
        <v>0.23466569647257271</v>
      </c>
      <c r="K14" s="65">
        <f t="shared" si="14"/>
        <v>0.23701320463838058</v>
      </c>
      <c r="L14" s="65">
        <f t="shared" si="14"/>
        <v>0.23338442920532473</v>
      </c>
      <c r="M14" s="66">
        <f t="shared" si="14"/>
        <v>0.24550277143411067</v>
      </c>
      <c r="N14" s="66">
        <f t="shared" si="14"/>
        <v>0.2480744757766537</v>
      </c>
      <c r="O14" s="66">
        <f t="shared" si="14"/>
        <v>0.24669079465776253</v>
      </c>
      <c r="P14" s="66">
        <f t="shared" si="14"/>
        <v>0.24243214966159241</v>
      </c>
      <c r="Q14" s="66">
        <f t="shared" si="14"/>
        <v>0.2406973470527406</v>
      </c>
    </row>
    <row r="15" spans="1:23" x14ac:dyDescent="0.45">
      <c r="M15" s="64"/>
      <c r="N15" s="64"/>
      <c r="O15" s="64"/>
      <c r="P15" s="64"/>
      <c r="Q15" s="64"/>
    </row>
    <row r="16" spans="1:23" x14ac:dyDescent="0.45">
      <c r="B16" s="34" t="str">
        <f>'Data Sheet'!A26</f>
        <v>Depreciation</v>
      </c>
      <c r="C16" s="63">
        <f>'Data Sheet'!B26</f>
        <v>396</v>
      </c>
      <c r="D16" s="63">
        <f>'Data Sheet'!C26</f>
        <v>478</v>
      </c>
      <c r="E16" s="63">
        <f>'Data Sheet'!D26</f>
        <v>524</v>
      </c>
      <c r="F16" s="63">
        <f>'Data Sheet'!E26</f>
        <v>938</v>
      </c>
      <c r="G16" s="63">
        <f>'Data Sheet'!F26</f>
        <v>1012</v>
      </c>
      <c r="H16" s="63">
        <f>'Data Sheet'!G26</f>
        <v>1025</v>
      </c>
      <c r="I16" s="63">
        <f>'Data Sheet'!H26</f>
        <v>1030</v>
      </c>
      <c r="J16" s="63">
        <f>'Data Sheet'!I26</f>
        <v>1097</v>
      </c>
      <c r="K16" s="63">
        <f>'Data Sheet'!J26</f>
        <v>1122</v>
      </c>
      <c r="L16" s="63">
        <f>'Data Sheet'!K26</f>
        <v>1186</v>
      </c>
      <c r="M16" s="64">
        <f>Calculation!L18</f>
        <v>1089.70507711338</v>
      </c>
      <c r="N16" s="64">
        <f>Calculation!M18</f>
        <v>1113.2103481936413</v>
      </c>
      <c r="O16" s="64">
        <f>Calculation!N18</f>
        <v>1136.5065919769022</v>
      </c>
      <c r="P16" s="64">
        <f>Calculation!O18</f>
        <v>1162.9513963260688</v>
      </c>
      <c r="Q16" s="64">
        <f>Calculation!P18</f>
        <v>1184.6399708059155</v>
      </c>
    </row>
    <row r="17" spans="1:17" x14ac:dyDescent="0.45">
      <c r="B17" s="34" t="s">
        <v>159</v>
      </c>
      <c r="C17" s="63">
        <f>C13-C16</f>
        <v>5651</v>
      </c>
      <c r="D17" s="63">
        <f t="shared" ref="D17:Q17" si="15">D13-D16</f>
        <v>6798</v>
      </c>
      <c r="E17" s="63">
        <f t="shared" si="15"/>
        <v>8113</v>
      </c>
      <c r="F17" s="63">
        <f t="shared" si="15"/>
        <v>8662</v>
      </c>
      <c r="G17" s="63">
        <f t="shared" si="15"/>
        <v>10312</v>
      </c>
      <c r="H17" s="63">
        <f t="shared" si="15"/>
        <v>11478</v>
      </c>
      <c r="I17" s="63">
        <f t="shared" si="15"/>
        <v>12602</v>
      </c>
      <c r="J17" s="63">
        <f t="shared" si="15"/>
        <v>13093</v>
      </c>
      <c r="K17" s="63">
        <f t="shared" si="15"/>
        <v>13022</v>
      </c>
      <c r="L17" s="63">
        <f t="shared" si="15"/>
        <v>13278</v>
      </c>
      <c r="M17" s="64">
        <f t="shared" si="15"/>
        <v>16015.487501657579</v>
      </c>
      <c r="N17" s="64">
        <f t="shared" si="15"/>
        <v>17105.502675785319</v>
      </c>
      <c r="O17" s="64">
        <f t="shared" si="15"/>
        <v>17912.254510547842</v>
      </c>
      <c r="P17" s="64">
        <f t="shared" si="15"/>
        <v>18472.558984101619</v>
      </c>
      <c r="Q17" s="64">
        <f t="shared" si="15"/>
        <v>19219.400010032186</v>
      </c>
    </row>
    <row r="18" spans="1:17" x14ac:dyDescent="0.45">
      <c r="B18" s="35" t="s">
        <v>117</v>
      </c>
      <c r="C18" s="65">
        <f t="shared" ref="C18:Q18" si="16">C17/C5</f>
        <v>0.17720288491690184</v>
      </c>
      <c r="D18" s="65">
        <f t="shared" si="16"/>
        <v>0.19690079652425779</v>
      </c>
      <c r="E18" s="65">
        <f t="shared" si="16"/>
        <v>0.21224884889074927</v>
      </c>
      <c r="F18" s="65">
        <f t="shared" si="16"/>
        <v>0.22333376305272656</v>
      </c>
      <c r="G18" s="65">
        <f t="shared" si="16"/>
        <v>0.22419340812244543</v>
      </c>
      <c r="H18" s="65">
        <f t="shared" si="16"/>
        <v>0.22421034125759381</v>
      </c>
      <c r="I18" s="65">
        <f t="shared" si="16"/>
        <v>0.21307317732990666</v>
      </c>
      <c r="J18" s="65">
        <f t="shared" si="16"/>
        <v>0.21652416940911873</v>
      </c>
      <c r="K18" s="65">
        <f t="shared" si="16"/>
        <v>0.21821167638581673</v>
      </c>
      <c r="L18" s="65">
        <f t="shared" si="16"/>
        <v>0.21424768051633725</v>
      </c>
      <c r="M18" s="66">
        <f t="shared" si="16"/>
        <v>0.2298627477836796</v>
      </c>
      <c r="N18" s="66">
        <f t="shared" si="16"/>
        <v>0.23291648557208705</v>
      </c>
      <c r="O18" s="66">
        <f t="shared" si="16"/>
        <v>0.23197247713571603</v>
      </c>
      <c r="P18" s="66">
        <f t="shared" si="16"/>
        <v>0.22807363279592902</v>
      </c>
      <c r="Q18" s="66">
        <f t="shared" si="16"/>
        <v>0.22672267838646662</v>
      </c>
    </row>
    <row r="19" spans="1:17" x14ac:dyDescent="0.45">
      <c r="M19" s="64"/>
      <c r="N19" s="64"/>
      <c r="O19" s="64"/>
      <c r="P19" s="64"/>
      <c r="Q19" s="64"/>
    </row>
    <row r="20" spans="1:17" x14ac:dyDescent="0.45">
      <c r="B20" s="34" t="str">
        <f>'Data Sheet'!A27</f>
        <v>Interest</v>
      </c>
      <c r="C20" s="63">
        <f>'Data Sheet'!B27</f>
        <v>22</v>
      </c>
      <c r="D20" s="63">
        <f>'Data Sheet'!C27</f>
        <v>20</v>
      </c>
      <c r="E20" s="63">
        <f>'Data Sheet'!D27</f>
        <v>28</v>
      </c>
      <c r="F20" s="63">
        <f>'Data Sheet'!E27</f>
        <v>106</v>
      </c>
      <c r="G20" s="63">
        <f>'Data Sheet'!F27</f>
        <v>108</v>
      </c>
      <c r="H20" s="63">
        <f>'Data Sheet'!G27</f>
        <v>98</v>
      </c>
      <c r="I20" s="63">
        <f>'Data Sheet'!H27</f>
        <v>101</v>
      </c>
      <c r="J20" s="63">
        <f>'Data Sheet'!I27</f>
        <v>302</v>
      </c>
      <c r="K20" s="63">
        <f>'Data Sheet'!J27</f>
        <v>350</v>
      </c>
      <c r="L20" s="63">
        <f>'Data Sheet'!K27</f>
        <v>363</v>
      </c>
      <c r="M20" s="64">
        <f>Calculation!R31</f>
        <v>228.3722843406143</v>
      </c>
      <c r="N20" s="64">
        <f>Calculation!S31</f>
        <v>241.14270924927447</v>
      </c>
      <c r="O20" s="64">
        <f>Calculation!T31</f>
        <v>259.04514156665272</v>
      </c>
      <c r="P20" s="64">
        <f>Calculation!U31</f>
        <v>280.75237642192252</v>
      </c>
      <c r="Q20" s="64">
        <f>Calculation!V31</f>
        <v>279.0061082515831</v>
      </c>
    </row>
    <row r="21" spans="1:17" x14ac:dyDescent="0.45">
      <c r="B21" s="34" t="str">
        <f>'Data Sheet'!A25</f>
        <v>Other Income</v>
      </c>
      <c r="C21" s="63">
        <f>'Data Sheet'!B25</f>
        <v>767</v>
      </c>
      <c r="D21" s="63">
        <f>'Data Sheet'!C25</f>
        <v>507</v>
      </c>
      <c r="E21" s="63">
        <f>'Data Sheet'!D25</f>
        <v>437</v>
      </c>
      <c r="F21" s="63">
        <f>'Data Sheet'!E25</f>
        <v>536</v>
      </c>
      <c r="G21" s="63">
        <f>'Data Sheet'!F25</f>
        <v>286</v>
      </c>
      <c r="H21" s="63">
        <f>'Data Sheet'!G25</f>
        <v>359</v>
      </c>
      <c r="I21" s="63">
        <f>'Data Sheet'!H25</f>
        <v>578</v>
      </c>
      <c r="J21" s="63">
        <f>'Data Sheet'!I25</f>
        <v>884</v>
      </c>
      <c r="K21" s="63">
        <f>'Data Sheet'!J25</f>
        <v>1632</v>
      </c>
      <c r="L21" s="63">
        <f>'Data Sheet'!K25</f>
        <v>5572</v>
      </c>
      <c r="M21" s="64">
        <f>Calculation!L31</f>
        <v>1798.4905579726733</v>
      </c>
      <c r="N21" s="64">
        <f>Calculation!M31</f>
        <v>2135.555215900366</v>
      </c>
      <c r="O21" s="64">
        <f>Calculation!N31</f>
        <v>2529.3549390534149</v>
      </c>
      <c r="P21" s="64">
        <f>Calculation!O31</f>
        <v>2963.3208552179121</v>
      </c>
      <c r="Q21" s="64">
        <f>Calculation!P31</f>
        <v>3411.8705298866935</v>
      </c>
    </row>
    <row r="22" spans="1:17" x14ac:dyDescent="0.45">
      <c r="B22" s="34" t="s">
        <v>161</v>
      </c>
      <c r="C22" s="63">
        <f>(C17+C21)-C20</f>
        <v>6396</v>
      </c>
      <c r="D22" s="63">
        <f t="shared" ref="D22:Q22" si="17">(D17+D21)-D20</f>
        <v>7285</v>
      </c>
      <c r="E22" s="63">
        <f t="shared" si="17"/>
        <v>8522</v>
      </c>
      <c r="F22" s="63">
        <f t="shared" si="17"/>
        <v>9092</v>
      </c>
      <c r="G22" s="63">
        <f t="shared" si="17"/>
        <v>10490</v>
      </c>
      <c r="H22" s="63">
        <f t="shared" si="17"/>
        <v>11739</v>
      </c>
      <c r="I22" s="63">
        <f t="shared" si="17"/>
        <v>13079</v>
      </c>
      <c r="J22" s="63">
        <f t="shared" si="17"/>
        <v>13675</v>
      </c>
      <c r="K22" s="63">
        <f t="shared" si="17"/>
        <v>14304</v>
      </c>
      <c r="L22" s="63">
        <f t="shared" si="17"/>
        <v>18487</v>
      </c>
      <c r="M22" s="64">
        <f t="shared" si="17"/>
        <v>17585.605775289638</v>
      </c>
      <c r="N22" s="64">
        <f t="shared" si="17"/>
        <v>18999.915182436413</v>
      </c>
      <c r="O22" s="64">
        <f t="shared" si="17"/>
        <v>20182.564308034602</v>
      </c>
      <c r="P22" s="64">
        <f t="shared" si="17"/>
        <v>21155.12746289761</v>
      </c>
      <c r="Q22" s="64">
        <f t="shared" si="17"/>
        <v>22352.264431667296</v>
      </c>
    </row>
    <row r="23" spans="1:17" x14ac:dyDescent="0.45">
      <c r="B23" s="35" t="s">
        <v>214</v>
      </c>
      <c r="C23" s="65">
        <f t="shared" ref="C23:Q23" si="18">C22/C5</f>
        <v>0.20056444026340545</v>
      </c>
      <c r="D23" s="65">
        <f t="shared" si="18"/>
        <v>0.2110065170166546</v>
      </c>
      <c r="E23" s="65">
        <f t="shared" si="18"/>
        <v>0.22294893260778567</v>
      </c>
      <c r="F23" s="65">
        <f t="shared" si="18"/>
        <v>0.23442052339822095</v>
      </c>
      <c r="G23" s="65">
        <f t="shared" si="18"/>
        <v>0.22806330985303069</v>
      </c>
      <c r="H23" s="65">
        <f t="shared" si="18"/>
        <v>0.22930869454808275</v>
      </c>
      <c r="I23" s="65">
        <f t="shared" si="18"/>
        <v>0.22113823887461112</v>
      </c>
      <c r="J23" s="65">
        <f t="shared" si="18"/>
        <v>0.22614893581835321</v>
      </c>
      <c r="K23" s="65">
        <f t="shared" si="18"/>
        <v>0.23969434948723103</v>
      </c>
      <c r="L23" s="65">
        <f t="shared" si="18"/>
        <v>0.29829770068576039</v>
      </c>
      <c r="M23" s="66">
        <f t="shared" si="18"/>
        <v>0.25239791573814108</v>
      </c>
      <c r="N23" s="66">
        <f t="shared" si="18"/>
        <v>0.25871168794854826</v>
      </c>
      <c r="O23" s="66">
        <f t="shared" si="18"/>
        <v>0.26137410199976457</v>
      </c>
      <c r="P23" s="66">
        <f t="shared" si="18"/>
        <v>0.26119428157606911</v>
      </c>
      <c r="Q23" s="66">
        <f t="shared" si="18"/>
        <v>0.26367968080714682</v>
      </c>
    </row>
    <row r="24" spans="1:17" x14ac:dyDescent="0.45">
      <c r="M24" s="64"/>
      <c r="N24" s="64"/>
      <c r="O24" s="64"/>
      <c r="P24" s="64"/>
      <c r="Q24" s="64"/>
    </row>
    <row r="25" spans="1:17" x14ac:dyDescent="0.45">
      <c r="B25" s="34" t="str">
        <f>'Data Sheet'!A29</f>
        <v>Tax</v>
      </c>
      <c r="C25" s="63">
        <f>'Data Sheet'!B29</f>
        <v>1906</v>
      </c>
      <c r="D25" s="63">
        <f>'Data Sheet'!C29</f>
        <v>2048</v>
      </c>
      <c r="E25" s="63">
        <f>'Data Sheet'!D29</f>
        <v>2486</v>
      </c>
      <c r="F25" s="63">
        <f>'Data Sheet'!E29</f>
        <v>2354</v>
      </c>
      <c r="G25" s="63">
        <f>'Data Sheet'!F29</f>
        <v>2536</v>
      </c>
      <c r="H25" s="63">
        <f>'Data Sheet'!G29</f>
        <v>2921</v>
      </c>
      <c r="I25" s="63">
        <f>'Data Sheet'!H29</f>
        <v>3117</v>
      </c>
      <c r="J25" s="63">
        <f>'Data Sheet'!I29</f>
        <v>3561</v>
      </c>
      <c r="K25" s="63">
        <f>'Data Sheet'!J29</f>
        <v>3660</v>
      </c>
      <c r="L25" s="63">
        <f>'Data Sheet'!K29</f>
        <v>3060</v>
      </c>
      <c r="M25" s="64">
        <f>Calculation!L37</f>
        <v>4401.0339264715303</v>
      </c>
      <c r="N25" s="64">
        <f>Calculation!M37</f>
        <v>4593.6817628293038</v>
      </c>
      <c r="O25" s="64">
        <f>Calculation!N37</f>
        <v>4751.7347388158569</v>
      </c>
      <c r="P25" s="64">
        <f>Calculation!O37</f>
        <v>4824.3691093211119</v>
      </c>
      <c r="Q25" s="64">
        <f>Calculation!P37</f>
        <v>4999.0491689071196</v>
      </c>
    </row>
    <row r="26" spans="1:17" x14ac:dyDescent="0.45">
      <c r="B26" s="34" t="s">
        <v>160</v>
      </c>
      <c r="C26" s="63">
        <f>C22-C25</f>
        <v>4490</v>
      </c>
      <c r="D26" s="63">
        <f t="shared" ref="D26:Q26" si="19">D22-D25</f>
        <v>5237</v>
      </c>
      <c r="E26" s="63">
        <f t="shared" si="19"/>
        <v>6036</v>
      </c>
      <c r="F26" s="63">
        <f t="shared" si="19"/>
        <v>6738</v>
      </c>
      <c r="G26" s="63">
        <f t="shared" si="19"/>
        <v>7954</v>
      </c>
      <c r="H26" s="63">
        <f t="shared" si="19"/>
        <v>8818</v>
      </c>
      <c r="I26" s="63">
        <f t="shared" si="19"/>
        <v>9962</v>
      </c>
      <c r="J26" s="63">
        <f t="shared" si="19"/>
        <v>10114</v>
      </c>
      <c r="K26" s="63">
        <f t="shared" si="19"/>
        <v>10644</v>
      </c>
      <c r="L26" s="63">
        <f t="shared" si="19"/>
        <v>15427</v>
      </c>
      <c r="M26" s="64">
        <f t="shared" si="19"/>
        <v>13184.571848818108</v>
      </c>
      <c r="N26" s="64">
        <f t="shared" si="19"/>
        <v>14406.23341960711</v>
      </c>
      <c r="O26" s="64">
        <f t="shared" si="19"/>
        <v>15430.829569218746</v>
      </c>
      <c r="P26" s="64">
        <f t="shared" si="19"/>
        <v>16330.758353576497</v>
      </c>
      <c r="Q26" s="64">
        <f t="shared" si="19"/>
        <v>17353.215262760175</v>
      </c>
    </row>
    <row r="27" spans="1:17" x14ac:dyDescent="0.45">
      <c r="B27" s="35" t="s">
        <v>98</v>
      </c>
      <c r="C27" s="65">
        <f t="shared" ref="C27:Q27" si="20">C26/C5</f>
        <v>0.14079648792724991</v>
      </c>
      <c r="D27" s="65">
        <f t="shared" si="20"/>
        <v>0.15168718320057928</v>
      </c>
      <c r="E27" s="65">
        <f t="shared" si="20"/>
        <v>0.15791125994139807</v>
      </c>
      <c r="F27" s="65">
        <f t="shared" si="20"/>
        <v>0.1737269562975377</v>
      </c>
      <c r="G27" s="65">
        <f t="shared" si="20"/>
        <v>0.1729280807026698</v>
      </c>
      <c r="H27" s="65">
        <f t="shared" si="20"/>
        <v>0.17225011232004375</v>
      </c>
      <c r="I27" s="65">
        <f t="shared" si="20"/>
        <v>0.16843635871770593</v>
      </c>
      <c r="J27" s="65">
        <f t="shared" si="20"/>
        <v>0.16725925680927417</v>
      </c>
      <c r="K27" s="65">
        <f t="shared" si="20"/>
        <v>0.17836316106977679</v>
      </c>
      <c r="L27" s="65">
        <f t="shared" si="20"/>
        <v>0.24892295280354981</v>
      </c>
      <c r="M27" s="66">
        <f t="shared" si="20"/>
        <v>0.18923194896234111</v>
      </c>
      <c r="N27" s="66">
        <f t="shared" si="20"/>
        <v>0.19616197910255145</v>
      </c>
      <c r="O27" s="66">
        <f t="shared" si="20"/>
        <v>0.19983680766275844</v>
      </c>
      <c r="P27" s="66">
        <f t="shared" si="20"/>
        <v>0.2016296381686068</v>
      </c>
      <c r="Q27" s="66">
        <f t="shared" si="20"/>
        <v>0.20470813037536181</v>
      </c>
    </row>
    <row r="28" spans="1:17" s="29" customFormat="1" x14ac:dyDescent="0.45">
      <c r="B28" s="178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spans="1:17" s="29" customFormat="1" x14ac:dyDescent="0.45">
      <c r="B29" s="178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spans="1:17" x14ac:dyDescent="0.45">
      <c r="A30" s="30" t="s">
        <v>54</v>
      </c>
      <c r="B30" s="27" t="s">
        <v>106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</row>
    <row r="31" spans="1:17" x14ac:dyDescent="0.45">
      <c r="B31" s="34" t="str">
        <f>'Data Sheet'!A57</f>
        <v>Equity Share Capital</v>
      </c>
      <c r="C31" s="63">
        <f>'Data Sheet'!B57</f>
        <v>216</v>
      </c>
      <c r="D31" s="63">
        <f>'Data Sheet'!C57</f>
        <v>216</v>
      </c>
      <c r="E31" s="63">
        <f>'Data Sheet'!D57</f>
        <v>216</v>
      </c>
      <c r="F31" s="63">
        <f>'Data Sheet'!E57</f>
        <v>216</v>
      </c>
      <c r="G31" s="63">
        <f>'Data Sheet'!F57</f>
        <v>235</v>
      </c>
      <c r="H31" s="63">
        <f>'Data Sheet'!G57</f>
        <v>235</v>
      </c>
      <c r="I31" s="63">
        <f>'Data Sheet'!H57</f>
        <v>235</v>
      </c>
      <c r="J31" s="63">
        <f>'Data Sheet'!I57</f>
        <v>235</v>
      </c>
      <c r="K31" s="63">
        <f>'Data Sheet'!J57</f>
        <v>235</v>
      </c>
      <c r="L31" s="63">
        <f>'Data Sheet'!$K57</f>
        <v>235</v>
      </c>
      <c r="M31" s="63">
        <f>'Data Sheet'!$K57</f>
        <v>235</v>
      </c>
      <c r="N31" s="63">
        <f>'Data Sheet'!$K57</f>
        <v>235</v>
      </c>
      <c r="O31" s="63">
        <f>'Data Sheet'!$K57</f>
        <v>235</v>
      </c>
      <c r="P31" s="63">
        <f>'Data Sheet'!$K57</f>
        <v>235</v>
      </c>
      <c r="Q31" s="63">
        <f>'Data Sheet'!$K57</f>
        <v>235</v>
      </c>
    </row>
    <row r="32" spans="1:17" x14ac:dyDescent="0.45">
      <c r="B32" s="34" t="str">
        <f>'Data Sheet'!A58</f>
        <v>Reserves</v>
      </c>
      <c r="C32" s="63">
        <f>'Data Sheet'!B58</f>
        <v>6274</v>
      </c>
      <c r="D32" s="63">
        <f>'Data Sheet'!C58</f>
        <v>6859</v>
      </c>
      <c r="E32" s="63">
        <f>'Data Sheet'!D58</f>
        <v>7443</v>
      </c>
      <c r="F32" s="63">
        <f>'Data Sheet'!E58</f>
        <v>7815</v>
      </c>
      <c r="G32" s="63">
        <f>'Data Sheet'!F58</f>
        <v>47199</v>
      </c>
      <c r="H32" s="63">
        <f>'Data Sheet'!G58</f>
        <v>48525</v>
      </c>
      <c r="I32" s="63">
        <f>'Data Sheet'!H58</f>
        <v>49986</v>
      </c>
      <c r="J32" s="63">
        <f>'Data Sheet'!I58</f>
        <v>50738</v>
      </c>
      <c r="K32" s="63">
        <f>'Data Sheet'!J58</f>
        <v>48918</v>
      </c>
      <c r="L32" s="63">
        <f>'Data Sheet'!K58</f>
        <v>48988</v>
      </c>
      <c r="M32" s="64">
        <f>Calculation!R44</f>
        <v>50800.956098520212</v>
      </c>
      <c r="N32" s="64">
        <f>Calculation!S44</f>
        <v>52681.920949845517</v>
      </c>
      <c r="O32" s="64">
        <f>Calculation!T44</f>
        <v>54503.011612302646</v>
      </c>
      <c r="P32" s="64">
        <f>Calculation!U44</f>
        <v>56219.909917769677</v>
      </c>
      <c r="Q32" s="64">
        <f>Calculation!V44</f>
        <v>57829.610612197837</v>
      </c>
    </row>
    <row r="33" spans="2:17" x14ac:dyDescent="0.45">
      <c r="M33" s="64"/>
      <c r="N33" s="64"/>
      <c r="O33" s="64"/>
      <c r="P33" s="64"/>
      <c r="Q33" s="64"/>
    </row>
    <row r="34" spans="2:17" x14ac:dyDescent="0.45">
      <c r="B34" s="24" t="s">
        <v>62</v>
      </c>
      <c r="M34" s="64"/>
      <c r="N34" s="64"/>
      <c r="O34" s="64"/>
      <c r="P34" s="64"/>
      <c r="Q34" s="64"/>
    </row>
    <row r="35" spans="2:17" x14ac:dyDescent="0.45">
      <c r="B35" s="24" t="s">
        <v>56</v>
      </c>
      <c r="M35" s="64"/>
      <c r="N35" s="64"/>
      <c r="O35" s="64"/>
      <c r="P35" s="64"/>
      <c r="Q35" s="64"/>
    </row>
    <row r="36" spans="2:17" x14ac:dyDescent="0.45">
      <c r="B36" s="34" t="str">
        <f>'Manual Data'!B39</f>
        <v>Trade Payables</v>
      </c>
      <c r="C36" s="63">
        <f>'Manual Data'!C39</f>
        <v>6006</v>
      </c>
      <c r="D36" s="63">
        <f>'Manual Data'!D39</f>
        <v>7013</v>
      </c>
      <c r="E36" s="63">
        <f>'Manual Data'!E39</f>
        <v>7070</v>
      </c>
      <c r="F36" s="63">
        <f>'Manual Data'!F39</f>
        <v>7399</v>
      </c>
      <c r="G36" s="63">
        <f>'Manual Data'!G39</f>
        <v>8627</v>
      </c>
      <c r="H36" s="63">
        <f>'Manual Data'!H39</f>
        <v>8864</v>
      </c>
      <c r="I36" s="63">
        <f>'Manual Data'!I39</f>
        <v>9391</v>
      </c>
      <c r="J36" s="63">
        <f>'Manual Data'!J39</f>
        <v>10148</v>
      </c>
      <c r="K36" s="63">
        <f>'Manual Data'!K39</f>
        <v>10998</v>
      </c>
      <c r="L36" s="63">
        <f>'Manual Data'!L39</f>
        <v>12913</v>
      </c>
      <c r="M36" s="64">
        <f>Calculation!L46</f>
        <v>12895.106109965896</v>
      </c>
      <c r="N36" s="64">
        <f>Calculation!M46</f>
        <v>13567.994406088736</v>
      </c>
      <c r="O36" s="64">
        <f>Calculation!N46</f>
        <v>14122.085283804661</v>
      </c>
      <c r="P36" s="64">
        <f>Calculation!O46</f>
        <v>14794.543137582976</v>
      </c>
      <c r="Q36" s="64">
        <f>Calculation!P46</f>
        <v>15404.403030673582</v>
      </c>
    </row>
    <row r="37" spans="2:17" ht="14.65" thickBot="1" x14ac:dyDescent="0.5">
      <c r="B37" s="34" t="str">
        <f>'Manual Data'!B40</f>
        <v>Advance from Customers</v>
      </c>
      <c r="C37" s="63">
        <f>'Manual Data'!C40</f>
        <v>70</v>
      </c>
      <c r="D37" s="63">
        <f>'Manual Data'!D40</f>
        <v>55</v>
      </c>
      <c r="E37" s="63">
        <f>'Manual Data'!E40</f>
        <v>39</v>
      </c>
      <c r="F37" s="63">
        <f>'Manual Data'!F40</f>
        <v>154</v>
      </c>
      <c r="G37" s="63">
        <f>'Manual Data'!G40</f>
        <v>93</v>
      </c>
      <c r="H37" s="63">
        <f>'Manual Data'!H40</f>
        <v>113</v>
      </c>
      <c r="I37" s="63">
        <f>'Manual Data'!I40</f>
        <v>86</v>
      </c>
      <c r="J37" s="63">
        <f>'Manual Data'!J40</f>
        <v>89</v>
      </c>
      <c r="K37" s="63">
        <f>'Manual Data'!K40</f>
        <v>0</v>
      </c>
      <c r="L37" s="63">
        <f>'Manual Data'!L40</f>
        <v>0</v>
      </c>
      <c r="M37" s="64">
        <f>Calculation!L50</f>
        <v>111.01985814525121</v>
      </c>
      <c r="N37" s="64">
        <f>Calculation!M50</f>
        <v>112.60284556996747</v>
      </c>
      <c r="O37" s="64">
        <f>Calculation!N50</f>
        <v>117.93168815183948</v>
      </c>
      <c r="P37" s="64">
        <f>Calculation!O50</f>
        <v>127.80587614017227</v>
      </c>
      <c r="Q37" s="64">
        <f>Calculation!P50</f>
        <v>113.48286461223391</v>
      </c>
    </row>
    <row r="38" spans="2:17" s="31" customFormat="1" x14ac:dyDescent="0.45">
      <c r="B38" s="25" t="s">
        <v>59</v>
      </c>
      <c r="C38" s="67">
        <f>SUM(C36:C37)</f>
        <v>6076</v>
      </c>
      <c r="D38" s="67">
        <f t="shared" ref="D38:Q38" si="21">SUM(D36:D37)</f>
        <v>7068</v>
      </c>
      <c r="E38" s="67">
        <f t="shared" si="21"/>
        <v>7109</v>
      </c>
      <c r="F38" s="67">
        <f t="shared" si="21"/>
        <v>7553</v>
      </c>
      <c r="G38" s="67">
        <f t="shared" si="21"/>
        <v>8720</v>
      </c>
      <c r="H38" s="67">
        <f t="shared" si="21"/>
        <v>8977</v>
      </c>
      <c r="I38" s="67">
        <f t="shared" si="21"/>
        <v>9477</v>
      </c>
      <c r="J38" s="67">
        <f t="shared" si="21"/>
        <v>10237</v>
      </c>
      <c r="K38" s="67">
        <f t="shared" si="21"/>
        <v>10998</v>
      </c>
      <c r="L38" s="67">
        <f t="shared" si="21"/>
        <v>12913</v>
      </c>
      <c r="M38" s="218">
        <f t="shared" si="21"/>
        <v>13006.125968111148</v>
      </c>
      <c r="N38" s="218">
        <f t="shared" si="21"/>
        <v>13680.597251658703</v>
      </c>
      <c r="O38" s="218">
        <f t="shared" si="21"/>
        <v>14240.0169719565</v>
      </c>
      <c r="P38" s="218">
        <f t="shared" si="21"/>
        <v>14922.349013723147</v>
      </c>
      <c r="Q38" s="218">
        <f t="shared" si="21"/>
        <v>15517.885895285815</v>
      </c>
    </row>
    <row r="39" spans="2:17" x14ac:dyDescent="0.45">
      <c r="B39" s="24"/>
      <c r="M39" s="64"/>
      <c r="N39" s="64"/>
      <c r="O39" s="64"/>
      <c r="P39" s="64"/>
      <c r="Q39" s="64"/>
    </row>
    <row r="40" spans="2:17" x14ac:dyDescent="0.45">
      <c r="B40" s="24" t="s">
        <v>230</v>
      </c>
      <c r="M40" s="64"/>
      <c r="N40" s="64"/>
      <c r="O40" s="64"/>
      <c r="P40" s="64"/>
      <c r="Q40" s="64"/>
    </row>
    <row r="41" spans="2:17" x14ac:dyDescent="0.45">
      <c r="B41" s="34" t="str">
        <f>'Data Sheet'!A59</f>
        <v>Borrowings</v>
      </c>
      <c r="C41" s="63">
        <f>'Data Sheet'!B59</f>
        <v>0</v>
      </c>
      <c r="D41" s="63">
        <f>'Data Sheet'!C59</f>
        <v>0</v>
      </c>
      <c r="E41" s="63">
        <f>'Data Sheet'!D59</f>
        <v>0</v>
      </c>
      <c r="F41" s="63">
        <f>'Data Sheet'!E59</f>
        <v>0</v>
      </c>
      <c r="G41" s="63">
        <f>'Data Sheet'!F59</f>
        <v>943</v>
      </c>
      <c r="H41" s="63">
        <f>'Data Sheet'!G59</f>
        <v>971</v>
      </c>
      <c r="I41" s="63">
        <f>'Data Sheet'!H59</f>
        <v>1039</v>
      </c>
      <c r="J41" s="63">
        <f>'Data Sheet'!I59</f>
        <v>1374</v>
      </c>
      <c r="K41" s="63">
        <f>'Data Sheet'!J59</f>
        <v>1537</v>
      </c>
      <c r="L41" s="63">
        <f>'Data Sheet'!$K$59</f>
        <v>1325</v>
      </c>
      <c r="M41" s="64">
        <f>Calculation!R30</f>
        <v>1325</v>
      </c>
      <c r="N41" s="64">
        <f>Calculation!S30</f>
        <v>1325</v>
      </c>
      <c r="O41" s="64">
        <f>Calculation!T30</f>
        <v>1325</v>
      </c>
      <c r="P41" s="64">
        <f>Calculation!U30</f>
        <v>1325</v>
      </c>
      <c r="Q41" s="64">
        <f>Calculation!V30</f>
        <v>1325</v>
      </c>
    </row>
    <row r="42" spans="2:17" ht="14.65" thickBot="1" x14ac:dyDescent="0.5">
      <c r="B42" s="34" t="str">
        <f>'Data Sheet'!A60</f>
        <v>Other Liabilities</v>
      </c>
      <c r="C42" s="63">
        <f>'Data Sheet'!B60-SUM(C36:C37)</f>
        <v>2185</v>
      </c>
      <c r="D42" s="63">
        <f>'Data Sheet'!C60-SUM(D36:D37)</f>
        <v>3006</v>
      </c>
      <c r="E42" s="63">
        <f>'Data Sheet'!D60-SUM(E36:E37)</f>
        <v>3097</v>
      </c>
      <c r="F42" s="63">
        <f>'Data Sheet'!E60-SUM(F36:F37)</f>
        <v>4018</v>
      </c>
      <c r="G42" s="63">
        <f>'Data Sheet'!F60-SUM(G36:G37)</f>
        <v>11019</v>
      </c>
      <c r="H42" s="63">
        <f>'Data Sheet'!G60-SUM(H36:H37)</f>
        <v>11029</v>
      </c>
      <c r="I42" s="63">
        <f>'Data Sheet'!H60-SUM(I36:I37)</f>
        <v>11088</v>
      </c>
      <c r="J42" s="63">
        <f>'Data Sheet'!I60-SUM(J36:J37)</f>
        <v>14492</v>
      </c>
      <c r="K42" s="63">
        <f>'Data Sheet'!J60-SUM(K36:K37)</f>
        <v>16625</v>
      </c>
      <c r="L42" s="63">
        <f>'Data Sheet'!K60-SUM(L36:L37)</f>
        <v>14521</v>
      </c>
      <c r="M42" s="64">
        <f>Calculation!L54</f>
        <v>12090.090075891738</v>
      </c>
      <c r="N42" s="64">
        <f>Calculation!M54</f>
        <v>13514.816156481022</v>
      </c>
      <c r="O42" s="64">
        <f>Calculation!N54</f>
        <v>14958.483553338028</v>
      </c>
      <c r="P42" s="64">
        <f>Calculation!O54</f>
        <v>16602.880408740672</v>
      </c>
      <c r="Q42" s="64">
        <f>Calculation!P54</f>
        <v>18236.571778825975</v>
      </c>
    </row>
    <row r="43" spans="2:17" s="31" customFormat="1" x14ac:dyDescent="0.45">
      <c r="B43" s="25" t="s">
        <v>231</v>
      </c>
      <c r="C43" s="67">
        <f>SUM(C41:C42)</f>
        <v>2185</v>
      </c>
      <c r="D43" s="67">
        <f t="shared" ref="D43:Q43" si="22">SUM(D41:D42)</f>
        <v>3006</v>
      </c>
      <c r="E43" s="67">
        <f t="shared" si="22"/>
        <v>3097</v>
      </c>
      <c r="F43" s="67">
        <f t="shared" si="22"/>
        <v>4018</v>
      </c>
      <c r="G43" s="67">
        <f t="shared" si="22"/>
        <v>11962</v>
      </c>
      <c r="H43" s="67">
        <f t="shared" si="22"/>
        <v>12000</v>
      </c>
      <c r="I43" s="67">
        <f t="shared" si="22"/>
        <v>12127</v>
      </c>
      <c r="J43" s="67">
        <f t="shared" si="22"/>
        <v>15866</v>
      </c>
      <c r="K43" s="67">
        <f t="shared" si="22"/>
        <v>18162</v>
      </c>
      <c r="L43" s="67">
        <f t="shared" si="22"/>
        <v>15846</v>
      </c>
      <c r="M43" s="218">
        <f t="shared" si="22"/>
        <v>13415.090075891738</v>
      </c>
      <c r="N43" s="218">
        <f t="shared" si="22"/>
        <v>14839.816156481022</v>
      </c>
      <c r="O43" s="218">
        <f t="shared" si="22"/>
        <v>16283.483553338028</v>
      </c>
      <c r="P43" s="218">
        <f t="shared" si="22"/>
        <v>17927.880408740672</v>
      </c>
      <c r="Q43" s="218">
        <f t="shared" si="22"/>
        <v>19561.571778825975</v>
      </c>
    </row>
    <row r="44" spans="2:17" ht="14.65" thickBot="1" x14ac:dyDescent="0.5">
      <c r="M44" s="64"/>
      <c r="N44" s="64"/>
      <c r="O44" s="64"/>
      <c r="P44" s="64"/>
      <c r="Q44" s="64"/>
    </row>
    <row r="45" spans="2:17" s="31" customFormat="1" ht="14.65" thickBot="1" x14ac:dyDescent="0.5">
      <c r="B45" s="26" t="s">
        <v>67</v>
      </c>
      <c r="C45" s="69">
        <f>SUM(C43,C38,C31:C32)</f>
        <v>14751</v>
      </c>
      <c r="D45" s="69">
        <f t="shared" ref="D45:Q45" si="23">SUM(D43,D38,D31:D32)</f>
        <v>17149</v>
      </c>
      <c r="E45" s="69">
        <f t="shared" si="23"/>
        <v>17865</v>
      </c>
      <c r="F45" s="69">
        <f t="shared" si="23"/>
        <v>19602</v>
      </c>
      <c r="G45" s="69">
        <f t="shared" si="23"/>
        <v>68116</v>
      </c>
      <c r="H45" s="69">
        <f t="shared" si="23"/>
        <v>69737</v>
      </c>
      <c r="I45" s="69">
        <f t="shared" si="23"/>
        <v>71825</v>
      </c>
      <c r="J45" s="69">
        <f t="shared" si="23"/>
        <v>77076</v>
      </c>
      <c r="K45" s="69">
        <f t="shared" si="23"/>
        <v>78313</v>
      </c>
      <c r="L45" s="70">
        <f t="shared" si="23"/>
        <v>77982</v>
      </c>
      <c r="M45" s="218">
        <f t="shared" si="23"/>
        <v>77457.172142523093</v>
      </c>
      <c r="N45" s="218">
        <f t="shared" si="23"/>
        <v>81437.334357985237</v>
      </c>
      <c r="O45" s="218">
        <f t="shared" si="23"/>
        <v>85261.512137597165</v>
      </c>
      <c r="P45" s="218">
        <f t="shared" si="23"/>
        <v>89305.139340233494</v>
      </c>
      <c r="Q45" s="218">
        <f t="shared" si="23"/>
        <v>93144.06828630963</v>
      </c>
    </row>
    <row r="46" spans="2:17" x14ac:dyDescent="0.45">
      <c r="B46" s="24"/>
      <c r="M46" s="64"/>
      <c r="N46" s="64"/>
      <c r="O46" s="64"/>
      <c r="P46" s="64"/>
      <c r="Q46" s="64"/>
    </row>
    <row r="47" spans="2:17" x14ac:dyDescent="0.45">
      <c r="B47" s="24" t="s">
        <v>61</v>
      </c>
      <c r="M47" s="64"/>
      <c r="N47" s="64"/>
      <c r="O47" s="64"/>
      <c r="P47" s="64"/>
      <c r="Q47" s="64"/>
    </row>
    <row r="48" spans="2:17" x14ac:dyDescent="0.45">
      <c r="B48" s="24" t="s">
        <v>63</v>
      </c>
      <c r="M48" s="64"/>
      <c r="N48" s="64"/>
      <c r="O48" s="64"/>
      <c r="P48" s="64"/>
      <c r="Q48" s="64"/>
    </row>
    <row r="49" spans="1:17" x14ac:dyDescent="0.45">
      <c r="B49" s="34" t="str">
        <f>'Data Sheet'!A62</f>
        <v>Net Block</v>
      </c>
      <c r="C49" s="63">
        <f>'Data Sheet'!B62</f>
        <v>4024</v>
      </c>
      <c r="D49" s="63">
        <f>'Data Sheet'!C62</f>
        <v>4142</v>
      </c>
      <c r="E49" s="63">
        <f>'Data Sheet'!D62</f>
        <v>4343</v>
      </c>
      <c r="F49" s="63">
        <f>'Data Sheet'!E62</f>
        <v>5056</v>
      </c>
      <c r="G49" s="63">
        <f>'Data Sheet'!F62</f>
        <v>51027</v>
      </c>
      <c r="H49" s="63">
        <f>'Data Sheet'!G62</f>
        <v>51034</v>
      </c>
      <c r="I49" s="63">
        <f>'Data Sheet'!H62</f>
        <v>51405</v>
      </c>
      <c r="J49" s="63">
        <f>'Data Sheet'!I62</f>
        <v>52379</v>
      </c>
      <c r="K49" s="63">
        <f>'Data Sheet'!J62</f>
        <v>52907</v>
      </c>
      <c r="L49" s="63">
        <f>'Data Sheet'!K62</f>
        <v>52419</v>
      </c>
      <c r="M49" s="64">
        <f>Calculation!R24</f>
        <v>53285.880127180768</v>
      </c>
      <c r="N49" s="64">
        <f>Calculation!S24</f>
        <v>54205.436840854221</v>
      </c>
      <c r="O49" s="64">
        <f>Calculation!T24</f>
        <v>55229.183544137362</v>
      </c>
      <c r="P49" s="64">
        <f>Calculation!U24</f>
        <v>56404.476523809368</v>
      </c>
      <c r="Q49" s="64">
        <f>Calculation!V24</f>
        <v>57744.636687263148</v>
      </c>
    </row>
    <row r="50" spans="1:17" x14ac:dyDescent="0.45">
      <c r="B50" s="34" t="str">
        <f>'Data Sheet'!A63</f>
        <v>Capital Work in Progress</v>
      </c>
      <c r="C50" s="63">
        <f>'Data Sheet'!B63</f>
        <v>203</v>
      </c>
      <c r="D50" s="63">
        <f>'Data Sheet'!C63</f>
        <v>430</v>
      </c>
      <c r="E50" s="63">
        <f>'Data Sheet'!D63</f>
        <v>373</v>
      </c>
      <c r="F50" s="63">
        <f>'Data Sheet'!E63</f>
        <v>513</v>
      </c>
      <c r="G50" s="63">
        <f>'Data Sheet'!F63</f>
        <v>623</v>
      </c>
      <c r="H50" s="63">
        <f>'Data Sheet'!G63</f>
        <v>901</v>
      </c>
      <c r="I50" s="63">
        <f>'Data Sheet'!H63</f>
        <v>1020</v>
      </c>
      <c r="J50" s="63">
        <f>'Data Sheet'!I63</f>
        <v>915</v>
      </c>
      <c r="K50" s="63">
        <f>'Data Sheet'!J63</f>
        <v>956</v>
      </c>
      <c r="L50" s="63">
        <f>'Data Sheet'!K63</f>
        <v>833</v>
      </c>
      <c r="M50" s="64">
        <f>Calculation!L58</f>
        <v>2359.2155355108921</v>
      </c>
      <c r="N50" s="64">
        <f>Calculation!M58</f>
        <v>2366.4696001811185</v>
      </c>
      <c r="O50" s="64">
        <f>Calculation!N58</f>
        <v>2078.9206534012706</v>
      </c>
      <c r="P50" s="64">
        <f>Calculation!O58</f>
        <v>1851.0450306688258</v>
      </c>
      <c r="Q50" s="64">
        <f>Calculation!P58</f>
        <v>1498.6301627368739</v>
      </c>
    </row>
    <row r="51" spans="1:17" x14ac:dyDescent="0.45">
      <c r="B51" s="34" t="str">
        <f>'Data Sheet'!A64</f>
        <v>Investments</v>
      </c>
      <c r="C51" s="63">
        <f>'Data Sheet'!B64</f>
        <v>3779</v>
      </c>
      <c r="D51" s="63">
        <f>'Data Sheet'!C64</f>
        <v>3111</v>
      </c>
      <c r="E51" s="63">
        <f>'Data Sheet'!D64</f>
        <v>2949</v>
      </c>
      <c r="F51" s="63">
        <f>'Data Sheet'!E64</f>
        <v>1500</v>
      </c>
      <c r="G51" s="63">
        <f>'Data Sheet'!F64</f>
        <v>2995</v>
      </c>
      <c r="H51" s="63">
        <f>'Data Sheet'!G64</f>
        <v>4122</v>
      </c>
      <c r="I51" s="63">
        <f>'Data Sheet'!H64</f>
        <v>3794</v>
      </c>
      <c r="J51" s="63">
        <f>'Data Sheet'!I64</f>
        <v>5493</v>
      </c>
      <c r="K51" s="63">
        <f>'Data Sheet'!J64</f>
        <v>4602</v>
      </c>
      <c r="L51" s="63">
        <f>'Data Sheet'!K64</f>
        <v>8879</v>
      </c>
      <c r="M51" s="64">
        <f>Calculation!L74</f>
        <v>5890.5329672601074</v>
      </c>
      <c r="N51" s="64">
        <f>Calculation!M74</f>
        <v>5959.5744655480739</v>
      </c>
      <c r="O51" s="64">
        <f>Calculation!N74</f>
        <v>6196.8551303206114</v>
      </c>
      <c r="P51" s="64">
        <f>Calculation!O74</f>
        <v>6525.0657026443305</v>
      </c>
      <c r="Q51" s="64">
        <f>Calculation!P74</f>
        <v>7184.4094658489585</v>
      </c>
    </row>
    <row r="52" spans="1:17" ht="14.65" thickBot="1" x14ac:dyDescent="0.5">
      <c r="B52" s="34" t="str">
        <f>'Data Sheet'!A65</f>
        <v>Other Assets</v>
      </c>
      <c r="C52" s="63">
        <f>'Data Sheet'!B65-SUM(C56:C58)</f>
        <v>1784</v>
      </c>
      <c r="D52" s="63">
        <f>'Data Sheet'!C65-SUM(D56:D58)</f>
        <v>2587</v>
      </c>
      <c r="E52" s="63">
        <f>'Data Sheet'!D65-SUM(E56:E58)</f>
        <v>2417</v>
      </c>
      <c r="F52" s="63">
        <f>'Data Sheet'!E65-SUM(F56:F58)</f>
        <v>3834</v>
      </c>
      <c r="G52" s="63">
        <f>'Data Sheet'!F65-SUM(G56:G58)</f>
        <v>4119</v>
      </c>
      <c r="H52" s="63">
        <f>'Data Sheet'!G65-SUM(H56:H58)</f>
        <v>4240</v>
      </c>
      <c r="I52" s="63">
        <f>'Data Sheet'!H65-SUM(I56:I58)</f>
        <v>4418</v>
      </c>
      <c r="J52" s="63">
        <f>'Data Sheet'!I65-SUM(J56:J58)</f>
        <v>4571</v>
      </c>
      <c r="K52" s="63">
        <f>'Data Sheet'!J65-SUM(K56:K58)</f>
        <v>4944</v>
      </c>
      <c r="L52" s="63">
        <f>'Data Sheet'!K65-SUM(L56:L58)</f>
        <v>5601</v>
      </c>
      <c r="M52" s="64">
        <f>Calculation!L62</f>
        <v>5496.2285442838247</v>
      </c>
      <c r="N52" s="64">
        <f>Calculation!M62</f>
        <v>5961.8281621547403</v>
      </c>
      <c r="O52" s="64">
        <f>Calculation!N62</f>
        <v>6316.6573045570331</v>
      </c>
      <c r="P52" s="64">
        <f>Calculation!O62</f>
        <v>6776.0204384914859</v>
      </c>
      <c r="Q52" s="64">
        <f>Calculation!P62</f>
        <v>6963.2004602546913</v>
      </c>
    </row>
    <row r="53" spans="1:17" s="31" customFormat="1" x14ac:dyDescent="0.45">
      <c r="B53" s="25" t="s">
        <v>60</v>
      </c>
      <c r="C53" s="67">
        <f>SUM(C49:C52)</f>
        <v>9790</v>
      </c>
      <c r="D53" s="67">
        <f t="shared" ref="D53:Q53" si="24">SUM(D49:D52)</f>
        <v>10270</v>
      </c>
      <c r="E53" s="67">
        <f t="shared" si="24"/>
        <v>10082</v>
      </c>
      <c r="F53" s="67">
        <f t="shared" si="24"/>
        <v>10903</v>
      </c>
      <c r="G53" s="67">
        <f t="shared" si="24"/>
        <v>58764</v>
      </c>
      <c r="H53" s="67">
        <f t="shared" si="24"/>
        <v>60297</v>
      </c>
      <c r="I53" s="67">
        <f t="shared" si="24"/>
        <v>60637</v>
      </c>
      <c r="J53" s="67">
        <f t="shared" si="24"/>
        <v>63358</v>
      </c>
      <c r="K53" s="67">
        <f t="shared" si="24"/>
        <v>63409</v>
      </c>
      <c r="L53" s="67">
        <f t="shared" si="24"/>
        <v>67732</v>
      </c>
      <c r="M53" s="218">
        <f t="shared" si="24"/>
        <v>67031.857174235585</v>
      </c>
      <c r="N53" s="218">
        <f t="shared" si="24"/>
        <v>68493.309068738148</v>
      </c>
      <c r="O53" s="218">
        <f t="shared" si="24"/>
        <v>69821.616632416277</v>
      </c>
      <c r="P53" s="218">
        <f t="shared" si="24"/>
        <v>71556.607695614017</v>
      </c>
      <c r="Q53" s="218">
        <f t="shared" si="24"/>
        <v>73390.876776103672</v>
      </c>
    </row>
    <row r="54" spans="1:17" x14ac:dyDescent="0.45">
      <c r="B54" s="24"/>
      <c r="M54" s="64"/>
      <c r="N54" s="64"/>
      <c r="O54" s="64"/>
      <c r="P54" s="64"/>
      <c r="Q54" s="64"/>
    </row>
    <row r="55" spans="1:17" x14ac:dyDescent="0.45">
      <c r="B55" s="24" t="s">
        <v>64</v>
      </c>
      <c r="M55" s="64"/>
      <c r="N55" s="64"/>
      <c r="O55" s="64"/>
      <c r="P55" s="64"/>
      <c r="Q55" s="64"/>
    </row>
    <row r="56" spans="1:17" x14ac:dyDescent="0.45">
      <c r="B56" s="34" t="str">
        <f>'Data Sheet'!A67</f>
        <v>Receivables</v>
      </c>
      <c r="C56" s="63">
        <f>'Data Sheet'!B67</f>
        <v>928</v>
      </c>
      <c r="D56" s="63">
        <f>'Data Sheet'!C67</f>
        <v>1147</v>
      </c>
      <c r="E56" s="63">
        <f>'Data Sheet'!D67</f>
        <v>1673</v>
      </c>
      <c r="F56" s="63">
        <f>'Data Sheet'!E67</f>
        <v>1046</v>
      </c>
      <c r="G56" s="63">
        <f>'Data Sheet'!F67</f>
        <v>1648</v>
      </c>
      <c r="H56" s="63">
        <f>'Data Sheet'!G67</f>
        <v>1932</v>
      </c>
      <c r="I56" s="63">
        <f>'Data Sheet'!H67</f>
        <v>2735</v>
      </c>
      <c r="J56" s="63">
        <f>'Data Sheet'!I67</f>
        <v>2690</v>
      </c>
      <c r="K56" s="63">
        <f>'Data Sheet'!J67</f>
        <v>3450</v>
      </c>
      <c r="L56" s="63">
        <f>'Data Sheet'!K67</f>
        <v>3037</v>
      </c>
      <c r="M56" s="64">
        <f>Calculation!L66</f>
        <v>2816.0407380200022</v>
      </c>
      <c r="N56" s="64">
        <f>Calculation!M66</f>
        <v>3051.3817202079767</v>
      </c>
      <c r="O56" s="64">
        <f>Calculation!N66</f>
        <v>3272.59478095138</v>
      </c>
      <c r="P56" s="64">
        <f>Calculation!O66</f>
        <v>3421.4264558912255</v>
      </c>
      <c r="Q56" s="64">
        <f>Calculation!P66</f>
        <v>3710.4423949579427</v>
      </c>
    </row>
    <row r="57" spans="1:17" x14ac:dyDescent="0.45">
      <c r="B57" s="34" t="str">
        <f>'Data Sheet'!A68</f>
        <v>Inventory</v>
      </c>
      <c r="C57" s="63">
        <f>'Data Sheet'!B68</f>
        <v>2362</v>
      </c>
      <c r="D57" s="63">
        <f>'Data Sheet'!C68</f>
        <v>2359</v>
      </c>
      <c r="E57" s="63">
        <f>'Data Sheet'!D68</f>
        <v>2422</v>
      </c>
      <c r="F57" s="63">
        <f>'Data Sheet'!E68</f>
        <v>2636</v>
      </c>
      <c r="G57" s="63">
        <f>'Data Sheet'!F68</f>
        <v>3383</v>
      </c>
      <c r="H57" s="63">
        <f>'Data Sheet'!G68</f>
        <v>3890</v>
      </c>
      <c r="I57" s="63">
        <f>'Data Sheet'!H68</f>
        <v>4031</v>
      </c>
      <c r="J57" s="63">
        <f>'Data Sheet'!I68</f>
        <v>3812</v>
      </c>
      <c r="K57" s="63">
        <f>'Data Sheet'!J68</f>
        <v>4161</v>
      </c>
      <c r="L57" s="63">
        <f>'Data Sheet'!K68</f>
        <v>4383</v>
      </c>
      <c r="M57" s="64">
        <f>Calculation!L70</f>
        <v>4844.3110738379801</v>
      </c>
      <c r="N57" s="64">
        <f>Calculation!M70</f>
        <v>5073.3945321506953</v>
      </c>
      <c r="O57" s="64">
        <f>Calculation!N70</f>
        <v>5340.1236996297966</v>
      </c>
      <c r="P57" s="64">
        <f>Calculation!O70</f>
        <v>5649.1493213772692</v>
      </c>
      <c r="Q57" s="64">
        <f>Calculation!P70</f>
        <v>5926.2701722975344</v>
      </c>
    </row>
    <row r="58" spans="1:17" ht="14.65" thickBot="1" x14ac:dyDescent="0.5">
      <c r="B58" s="34" t="str">
        <f>'Data Sheet'!A69</f>
        <v>Cash &amp; Bank</v>
      </c>
      <c r="C58" s="63">
        <f>'Data Sheet'!B69</f>
        <v>1671</v>
      </c>
      <c r="D58" s="63">
        <f>'Data Sheet'!C69</f>
        <v>3373</v>
      </c>
      <c r="E58" s="63">
        <f>'Data Sheet'!D69</f>
        <v>3688</v>
      </c>
      <c r="F58" s="63">
        <f>'Data Sheet'!E69</f>
        <v>5017</v>
      </c>
      <c r="G58" s="63">
        <f>'Data Sheet'!F69</f>
        <v>4321</v>
      </c>
      <c r="H58" s="63">
        <f>'Data Sheet'!G69</f>
        <v>3618</v>
      </c>
      <c r="I58" s="63">
        <f>'Data Sheet'!H69</f>
        <v>4422</v>
      </c>
      <c r="J58" s="63">
        <f>'Data Sheet'!I69</f>
        <v>7216</v>
      </c>
      <c r="K58" s="63">
        <f>'Data Sheet'!J69</f>
        <v>7293</v>
      </c>
      <c r="L58" s="63">
        <f>'Data Sheet'!K69</f>
        <v>2830</v>
      </c>
      <c r="M58" s="64">
        <f>L58+M99</f>
        <v>3296.3031786121155</v>
      </c>
      <c r="N58" s="64">
        <f>M58+N99</f>
        <v>1705.97150248449</v>
      </c>
      <c r="O58" s="64">
        <f>N58+O99</f>
        <v>-2.2786083415303438</v>
      </c>
      <c r="P58" s="64">
        <f>O58+P99</f>
        <v>-2343.048527831812</v>
      </c>
      <c r="Q58" s="64">
        <f>P58+Q99</f>
        <v>-5181.2172698793365</v>
      </c>
    </row>
    <row r="59" spans="1:17" s="31" customFormat="1" x14ac:dyDescent="0.45">
      <c r="B59" s="25" t="s">
        <v>65</v>
      </c>
      <c r="C59" s="67">
        <f>SUM(C56:C58)</f>
        <v>4961</v>
      </c>
      <c r="D59" s="67">
        <f t="shared" ref="D59:Q59" si="25">SUM(D56:D58)</f>
        <v>6879</v>
      </c>
      <c r="E59" s="67">
        <f t="shared" si="25"/>
        <v>7783</v>
      </c>
      <c r="F59" s="67">
        <f t="shared" si="25"/>
        <v>8699</v>
      </c>
      <c r="G59" s="67">
        <f t="shared" si="25"/>
        <v>9352</v>
      </c>
      <c r="H59" s="67">
        <f t="shared" si="25"/>
        <v>9440</v>
      </c>
      <c r="I59" s="67">
        <f t="shared" si="25"/>
        <v>11188</v>
      </c>
      <c r="J59" s="67">
        <f t="shared" si="25"/>
        <v>13718</v>
      </c>
      <c r="K59" s="67">
        <f t="shared" si="25"/>
        <v>14904</v>
      </c>
      <c r="L59" s="67">
        <f t="shared" si="25"/>
        <v>10250</v>
      </c>
      <c r="M59" s="218">
        <f t="shared" si="25"/>
        <v>10956.654990470099</v>
      </c>
      <c r="N59" s="218">
        <f t="shared" si="25"/>
        <v>9830.7477548431616</v>
      </c>
      <c r="O59" s="218">
        <f t="shared" si="25"/>
        <v>8610.4398722396472</v>
      </c>
      <c r="P59" s="218">
        <f t="shared" si="25"/>
        <v>6727.5272494366836</v>
      </c>
      <c r="Q59" s="218">
        <f t="shared" si="25"/>
        <v>4455.495297376141</v>
      </c>
    </row>
    <row r="60" spans="1:17" ht="14.65" thickBot="1" x14ac:dyDescent="0.5">
      <c r="M60" s="64"/>
      <c r="N60" s="64"/>
      <c r="O60" s="64"/>
      <c r="P60" s="64"/>
      <c r="Q60" s="64"/>
    </row>
    <row r="61" spans="1:17" s="31" customFormat="1" ht="14.65" thickBot="1" x14ac:dyDescent="0.5">
      <c r="B61" s="26" t="s">
        <v>66</v>
      </c>
      <c r="C61" s="69">
        <f>SUM(C59,C53)</f>
        <v>14751</v>
      </c>
      <c r="D61" s="69">
        <f t="shared" ref="D61:Q61" si="26">SUM(D59,D53)</f>
        <v>17149</v>
      </c>
      <c r="E61" s="69">
        <f t="shared" si="26"/>
        <v>17865</v>
      </c>
      <c r="F61" s="69">
        <f t="shared" si="26"/>
        <v>19602</v>
      </c>
      <c r="G61" s="69">
        <f t="shared" si="26"/>
        <v>68116</v>
      </c>
      <c r="H61" s="69">
        <f t="shared" si="26"/>
        <v>69737</v>
      </c>
      <c r="I61" s="69">
        <f t="shared" si="26"/>
        <v>71825</v>
      </c>
      <c r="J61" s="69">
        <f t="shared" si="26"/>
        <v>77076</v>
      </c>
      <c r="K61" s="69">
        <f t="shared" si="26"/>
        <v>78313</v>
      </c>
      <c r="L61" s="70">
        <f t="shared" si="26"/>
        <v>77982</v>
      </c>
      <c r="M61" s="218">
        <f t="shared" si="26"/>
        <v>77988.51216470568</v>
      </c>
      <c r="N61" s="218">
        <f t="shared" si="26"/>
        <v>78324.056823581312</v>
      </c>
      <c r="O61" s="218">
        <f t="shared" si="26"/>
        <v>78432.05650465592</v>
      </c>
      <c r="P61" s="218">
        <f t="shared" si="26"/>
        <v>78284.134945050697</v>
      </c>
      <c r="Q61" s="218">
        <f t="shared" si="26"/>
        <v>77846.372073479812</v>
      </c>
    </row>
    <row r="62" spans="1:17" s="29" customFormat="1" x14ac:dyDescent="0.45">
      <c r="B62" s="178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179"/>
      <c r="N62" s="179"/>
      <c r="O62" s="179"/>
      <c r="P62" s="179"/>
      <c r="Q62" s="179"/>
    </row>
    <row r="63" spans="1:17" s="29" customFormat="1" x14ac:dyDescent="0.45">
      <c r="B63" s="178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179"/>
      <c r="N63" s="179"/>
      <c r="O63" s="179"/>
      <c r="P63" s="179"/>
      <c r="Q63" s="179"/>
    </row>
    <row r="64" spans="1:17" x14ac:dyDescent="0.45">
      <c r="A64" s="30" t="s">
        <v>54</v>
      </c>
      <c r="B64" s="27" t="str">
        <f>'Manual Data'!B1&amp;"(in CR)"</f>
        <v>Cash-Flows(in CR)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72"/>
      <c r="N64" s="72"/>
      <c r="O64" s="72"/>
      <c r="P64" s="72"/>
      <c r="Q64" s="72"/>
    </row>
    <row r="65" spans="2:21" x14ac:dyDescent="0.45">
      <c r="B65" s="24" t="str">
        <f>'Manual Data'!B2</f>
        <v>Cash from Operating Activity </v>
      </c>
      <c r="M65" s="64"/>
      <c r="N65" s="64"/>
      <c r="O65" s="64"/>
      <c r="P65" s="64"/>
      <c r="Q65" s="64"/>
    </row>
    <row r="66" spans="2:21" x14ac:dyDescent="0.45">
      <c r="B66" s="34" t="str">
        <f>'Manual Data'!B3</f>
        <v>Profit from operations</v>
      </c>
      <c r="C66" s="63">
        <f>'Manual Data'!C3</f>
        <v>6219</v>
      </c>
      <c r="D66" s="63">
        <f>'Manual Data'!D3</f>
        <v>7237</v>
      </c>
      <c r="E66" s="63">
        <f>'Manual Data'!E3</f>
        <v>8674</v>
      </c>
      <c r="F66" s="63">
        <f>'Manual Data'!F3</f>
        <v>9473</v>
      </c>
      <c r="G66" s="63">
        <f>'Manual Data'!G3</f>
        <v>11380</v>
      </c>
      <c r="H66" s="63">
        <f>'Manual Data'!H3</f>
        <v>12473</v>
      </c>
      <c r="I66" s="63">
        <f>'Manual Data'!I3</f>
        <v>13557</v>
      </c>
      <c r="J66" s="63">
        <f>'Manual Data'!J3</f>
        <v>14043</v>
      </c>
      <c r="K66" s="63">
        <f>'Manual Data'!K3</f>
        <v>14343</v>
      </c>
      <c r="L66" s="63">
        <f>'Manual Data'!L3</f>
        <v>14538</v>
      </c>
      <c r="M66" s="64">
        <f>M17</f>
        <v>16015.487501657579</v>
      </c>
      <c r="N66" s="64">
        <f t="shared" ref="N66:Q66" si="27">N17</f>
        <v>17105.502675785319</v>
      </c>
      <c r="O66" s="64">
        <f t="shared" si="27"/>
        <v>17912.254510547842</v>
      </c>
      <c r="P66" s="64">
        <f t="shared" si="27"/>
        <v>18472.558984101619</v>
      </c>
      <c r="Q66" s="64">
        <f t="shared" si="27"/>
        <v>19219.400010032186</v>
      </c>
    </row>
    <row r="67" spans="2:21" x14ac:dyDescent="0.45">
      <c r="B67" s="34" t="str">
        <f>'Manual Data'!B4</f>
        <v>Receivables</v>
      </c>
      <c r="C67" s="63">
        <f>'Manual Data'!C4</f>
        <v>131</v>
      </c>
      <c r="D67" s="63">
        <f>'Manual Data'!D4</f>
        <v>0</v>
      </c>
      <c r="E67" s="63">
        <f>'Manual Data'!E4</f>
        <v>0</v>
      </c>
      <c r="F67" s="63">
        <f>'Manual Data'!F4</f>
        <v>0</v>
      </c>
      <c r="G67" s="63">
        <f>'Manual Data'!G4</f>
        <v>0</v>
      </c>
      <c r="H67" s="63">
        <f>'Manual Data'!H4</f>
        <v>0</v>
      </c>
      <c r="I67" s="63">
        <f>'Manual Data'!I4</f>
        <v>0</v>
      </c>
      <c r="J67" s="63">
        <f>'Manual Data'!J4</f>
        <v>0</v>
      </c>
      <c r="K67" s="63">
        <f>'Manual Data'!K4</f>
        <v>0</v>
      </c>
      <c r="L67" s="63">
        <f>'Manual Data'!L4</f>
        <v>0</v>
      </c>
      <c r="M67" s="64">
        <f>IF(M56&gt;L56,-ABS(M56-L56),ABS(M56-L56))</f>
        <v>220.95926197999779</v>
      </c>
      <c r="N67" s="64">
        <f t="shared" ref="N67:Q67" si="28">IF(N56&gt;M56,-ABS(N56-M56),ABS(N56-M56))</f>
        <v>-235.34098218797453</v>
      </c>
      <c r="O67" s="64">
        <f t="shared" si="28"/>
        <v>-221.21306074340328</v>
      </c>
      <c r="P67" s="64">
        <f t="shared" si="28"/>
        <v>-148.83167493984547</v>
      </c>
      <c r="Q67" s="64">
        <f t="shared" si="28"/>
        <v>-289.01593906671724</v>
      </c>
    </row>
    <row r="68" spans="2:21" x14ac:dyDescent="0.45">
      <c r="B68" s="34" t="str">
        <f>'Manual Data'!B5</f>
        <v>Inventory</v>
      </c>
      <c r="C68" s="63">
        <f>'Manual Data'!C5</f>
        <v>38</v>
      </c>
      <c r="D68" s="63">
        <f>'Manual Data'!D5</f>
        <v>-162</v>
      </c>
      <c r="E68" s="63">
        <f>'Manual Data'!E5</f>
        <v>-195</v>
      </c>
      <c r="F68" s="63">
        <f>'Manual Data'!F5</f>
        <v>-369</v>
      </c>
      <c r="G68" s="63">
        <f>'Manual Data'!G5</f>
        <v>-472</v>
      </c>
      <c r="H68" s="63">
        <f>'Manual Data'!H5</f>
        <v>-737</v>
      </c>
      <c r="I68" s="63">
        <f>'Manual Data'!I5</f>
        <v>-332</v>
      </c>
      <c r="J68" s="63">
        <f>'Manual Data'!J5</f>
        <v>77</v>
      </c>
      <c r="K68" s="63">
        <f>'Manual Data'!K5</f>
        <v>-540</v>
      </c>
      <c r="L68" s="63">
        <f>'Manual Data'!L5</f>
        <v>-630</v>
      </c>
      <c r="M68" s="64">
        <f>IF(M57&gt;L57,-ABS(M57-L57),ABS(M57-L57))</f>
        <v>-461.31107383798008</v>
      </c>
      <c r="N68" s="64">
        <f t="shared" ref="N68:Q68" si="29">IF(N57&gt;M57,-ABS(N57-M57),ABS(N57-M57))</f>
        <v>-229.08345831271527</v>
      </c>
      <c r="O68" s="64">
        <f t="shared" si="29"/>
        <v>-266.72916747910131</v>
      </c>
      <c r="P68" s="64">
        <f t="shared" si="29"/>
        <v>-309.02562174747254</v>
      </c>
      <c r="Q68" s="64">
        <f t="shared" si="29"/>
        <v>-277.12085092026518</v>
      </c>
      <c r="U68" s="28" t="s">
        <v>232</v>
      </c>
    </row>
    <row r="69" spans="2:21" x14ac:dyDescent="0.45">
      <c r="B69" s="34" t="str">
        <f>'Manual Data'!B6</f>
        <v>Payables</v>
      </c>
      <c r="C69" s="63">
        <f>'Manual Data'!C6</f>
        <v>508</v>
      </c>
      <c r="D69" s="63">
        <f>'Manual Data'!D6</f>
        <v>0</v>
      </c>
      <c r="E69" s="63">
        <f>'Manual Data'!E6</f>
        <v>0</v>
      </c>
      <c r="F69" s="63">
        <f>'Manual Data'!F6</f>
        <v>0</v>
      </c>
      <c r="G69" s="63">
        <f>'Manual Data'!G6</f>
        <v>0</v>
      </c>
      <c r="H69" s="63">
        <f>'Manual Data'!H6</f>
        <v>0</v>
      </c>
      <c r="I69" s="63">
        <f>'Manual Data'!I6</f>
        <v>0</v>
      </c>
      <c r="J69" s="63">
        <f>'Manual Data'!J6</f>
        <v>0</v>
      </c>
      <c r="K69" s="63">
        <f>'Manual Data'!K6</f>
        <v>0</v>
      </c>
      <c r="L69" s="63">
        <f>'Manual Data'!L6</f>
        <v>0</v>
      </c>
      <c r="M69" s="64">
        <f>IF(M36&gt;L36,ABS(M36-L36),-ABS(M36-L36))</f>
        <v>-17.893890034103606</v>
      </c>
      <c r="N69" s="64">
        <f t="shared" ref="N69:Q69" si="30">IF(N36&gt;M36,ABS(N36-M36),-ABS(N36-M36))</f>
        <v>672.88829612283917</v>
      </c>
      <c r="O69" s="64">
        <f t="shared" si="30"/>
        <v>554.09087771592567</v>
      </c>
      <c r="P69" s="64">
        <f t="shared" si="30"/>
        <v>672.45785377831453</v>
      </c>
      <c r="Q69" s="64">
        <f t="shared" si="30"/>
        <v>609.85989309060642</v>
      </c>
    </row>
    <row r="70" spans="2:21" x14ac:dyDescent="0.45">
      <c r="B70" s="34" t="str">
        <f>'Manual Data'!B7</f>
        <v>Loans Advances</v>
      </c>
      <c r="C70" s="63">
        <f>'Manual Data'!C7</f>
        <v>-46</v>
      </c>
      <c r="D70" s="63">
        <f>'Manual Data'!D7</f>
        <v>0</v>
      </c>
      <c r="E70" s="63">
        <f>'Manual Data'!E7</f>
        <v>0</v>
      </c>
      <c r="F70" s="63">
        <f>'Manual Data'!F7</f>
        <v>0</v>
      </c>
      <c r="G70" s="63">
        <f>'Manual Data'!G7</f>
        <v>0</v>
      </c>
      <c r="H70" s="63">
        <f>'Manual Data'!H7</f>
        <v>0</v>
      </c>
      <c r="I70" s="63">
        <f>'Manual Data'!I7</f>
        <v>0</v>
      </c>
      <c r="J70" s="63">
        <f>'Manual Data'!J7</f>
        <v>0</v>
      </c>
      <c r="K70" s="63">
        <f>'Manual Data'!K7</f>
        <v>0</v>
      </c>
      <c r="L70" s="63">
        <f>'Manual Data'!L7</f>
        <v>0</v>
      </c>
      <c r="M70" s="64">
        <f>IF(M52&gt;L52,-ABS(M52-L52),ABS(M52-L52))</f>
        <v>104.7714557161753</v>
      </c>
      <c r="N70" s="64">
        <f t="shared" ref="N70:Q70" si="31">IF(N52&gt;M52,-ABS(N52-M52),ABS(N52-M52))</f>
        <v>-465.59961787091561</v>
      </c>
      <c r="O70" s="64">
        <f t="shared" si="31"/>
        <v>-354.82914240229275</v>
      </c>
      <c r="P70" s="64">
        <f t="shared" si="31"/>
        <v>-459.36313393445289</v>
      </c>
      <c r="Q70" s="64">
        <f t="shared" si="31"/>
        <v>-187.18002176320533</v>
      </c>
    </row>
    <row r="71" spans="2:21" x14ac:dyDescent="0.45">
      <c r="B71" s="34" t="str">
        <f>'Manual Data'!B8</f>
        <v>Other WC items</v>
      </c>
      <c r="C71" s="63">
        <f>'Manual Data'!C8</f>
        <v>-93</v>
      </c>
      <c r="D71" s="63">
        <f>'Manual Data'!D8</f>
        <v>1026</v>
      </c>
      <c r="E71" s="63">
        <f>'Manual Data'!E8</f>
        <v>-66</v>
      </c>
      <c r="F71" s="63">
        <f>'Manual Data'!F8</f>
        <v>666</v>
      </c>
      <c r="G71" s="63">
        <f>'Manual Data'!G8</f>
        <v>416</v>
      </c>
      <c r="H71" s="63">
        <f>'Manual Data'!H8</f>
        <v>-52</v>
      </c>
      <c r="I71" s="63">
        <f>'Manual Data'!I8</f>
        <v>-531</v>
      </c>
      <c r="J71" s="63">
        <f>'Manual Data'!J8</f>
        <v>1059</v>
      </c>
      <c r="K71" s="63">
        <f>'Manual Data'!K8</f>
        <v>-14</v>
      </c>
      <c r="L71" s="63">
        <f>'Manual Data'!L8</f>
        <v>1314</v>
      </c>
      <c r="M71" s="64">
        <f>IF(M37&gt;L37,ABS(M37-L37),-ABS(M37-L37))</f>
        <v>111.01985814525121</v>
      </c>
      <c r="N71" s="64">
        <f t="shared" ref="N71:Q71" si="32">IF(N37&gt;M37,ABS(N37-M37),-ABS(N37-M37))</f>
        <v>1.582987424716265</v>
      </c>
      <c r="O71" s="64">
        <f t="shared" si="32"/>
        <v>5.32884258187201</v>
      </c>
      <c r="P71" s="64">
        <f t="shared" si="32"/>
        <v>9.8741879883327925</v>
      </c>
      <c r="Q71" s="64">
        <f t="shared" si="32"/>
        <v>-14.323011527938363</v>
      </c>
    </row>
    <row r="72" spans="2:21" x14ac:dyDescent="0.45">
      <c r="B72" s="34" t="str">
        <f>'Manual Data'!B9</f>
        <v>Working capital changes</v>
      </c>
      <c r="C72" s="63">
        <f>'Manual Data'!C9</f>
        <v>538</v>
      </c>
      <c r="D72" s="63">
        <f>'Manual Data'!D9</f>
        <v>864</v>
      </c>
      <c r="E72" s="63">
        <f>'Manual Data'!E9</f>
        <v>-261</v>
      </c>
      <c r="F72" s="63">
        <f>'Manual Data'!F9</f>
        <v>297</v>
      </c>
      <c r="G72" s="63">
        <f>'Manual Data'!G9</f>
        <v>-56</v>
      </c>
      <c r="H72" s="63">
        <f>'Manual Data'!H9</f>
        <v>-789</v>
      </c>
      <c r="I72" s="63">
        <f>'Manual Data'!I9</f>
        <v>-863</v>
      </c>
      <c r="J72" s="63">
        <f>'Manual Data'!J9</f>
        <v>1136</v>
      </c>
      <c r="K72" s="63">
        <f>'Manual Data'!K9</f>
        <v>-554</v>
      </c>
      <c r="L72" s="63">
        <f>'Manual Data'!L9</f>
        <v>684</v>
      </c>
      <c r="M72" s="64">
        <f>SUM(M67:M71)</f>
        <v>-42.454388030659388</v>
      </c>
      <c r="N72" s="64">
        <f t="shared" ref="N72:Q72" si="33">SUM(N67:N71)</f>
        <v>-255.55277482404998</v>
      </c>
      <c r="O72" s="64">
        <f t="shared" si="33"/>
        <v>-283.35165032699967</v>
      </c>
      <c r="P72" s="64">
        <f t="shared" si="33"/>
        <v>-234.88838885512359</v>
      </c>
      <c r="Q72" s="64">
        <f t="shared" si="33"/>
        <v>-157.77993018751971</v>
      </c>
    </row>
    <row r="73" spans="2:21" x14ac:dyDescent="0.45">
      <c r="B73" s="34" t="str">
        <f>'Manual Data'!B10</f>
        <v>Direct taxes</v>
      </c>
      <c r="C73" s="63">
        <f>'Manual Data'!C10</f>
        <v>-1783</v>
      </c>
      <c r="D73" s="63">
        <f>'Manual Data'!D10</f>
        <v>-2188</v>
      </c>
      <c r="E73" s="63">
        <f>'Manual Data'!E10</f>
        <v>-2685</v>
      </c>
      <c r="F73" s="63">
        <f>'Manual Data'!F10</f>
        <v>-2465</v>
      </c>
      <c r="G73" s="63">
        <f>'Manual Data'!G10</f>
        <v>-2367</v>
      </c>
      <c r="H73" s="63">
        <f>'Manual Data'!H10</f>
        <v>-2720</v>
      </c>
      <c r="I73" s="63">
        <f>'Manual Data'!I10</f>
        <v>-3068</v>
      </c>
      <c r="J73" s="63">
        <f>'Manual Data'!J10</f>
        <v>-295</v>
      </c>
      <c r="K73" s="63">
        <f>'Manual Data'!K10</f>
        <v>-2183</v>
      </c>
      <c r="L73" s="63">
        <f>'Manual Data'!L10</f>
        <v>-4726</v>
      </c>
      <c r="M73" s="64">
        <f>-M25</f>
        <v>-4401.0339264715303</v>
      </c>
      <c r="N73" s="64">
        <f t="shared" ref="N73:Q73" si="34">-N25</f>
        <v>-4593.6817628293038</v>
      </c>
      <c r="O73" s="64">
        <f t="shared" si="34"/>
        <v>-4751.7347388158569</v>
      </c>
      <c r="P73" s="64">
        <f t="shared" si="34"/>
        <v>-4824.3691093211119</v>
      </c>
      <c r="Q73" s="64">
        <f t="shared" si="34"/>
        <v>-4999.0491689071196</v>
      </c>
    </row>
    <row r="74" spans="2:21" ht="14.65" thickBot="1" x14ac:dyDescent="0.5">
      <c r="B74" s="34" t="str">
        <f>'Manual Data'!B11</f>
        <v>Other operating items</v>
      </c>
      <c r="C74" s="63">
        <f>'Manual Data'!C11</f>
        <v>-21</v>
      </c>
      <c r="D74" s="63">
        <f>'Manual Data'!D11</f>
        <v>0</v>
      </c>
      <c r="E74" s="63">
        <f>'Manual Data'!E11</f>
        <v>0</v>
      </c>
      <c r="F74" s="63">
        <f>'Manual Data'!F11</f>
        <v>0</v>
      </c>
      <c r="G74" s="63">
        <f>'Manual Data'!G11</f>
        <v>0</v>
      </c>
      <c r="H74" s="63">
        <f>'Manual Data'!H11</f>
        <v>0</v>
      </c>
      <c r="I74" s="63">
        <f>'Manual Data'!I11</f>
        <v>0</v>
      </c>
      <c r="J74" s="63">
        <f>'Manual Data'!J11</f>
        <v>0</v>
      </c>
      <c r="K74" s="63">
        <f>'Manual Data'!K11</f>
        <v>0</v>
      </c>
      <c r="L74" s="63">
        <f>'Manual Data'!L11</f>
        <v>0</v>
      </c>
      <c r="M74" s="64">
        <f>'Manual Data'!M11</f>
        <v>0</v>
      </c>
      <c r="N74" s="64">
        <f>'Manual Data'!N11</f>
        <v>0</v>
      </c>
      <c r="O74" s="64">
        <f>'Manual Data'!O11</f>
        <v>0</v>
      </c>
      <c r="P74" s="64">
        <f>'Manual Data'!P11</f>
        <v>0</v>
      </c>
      <c r="Q74" s="64">
        <f>'Manual Data'!Q11</f>
        <v>0</v>
      </c>
    </row>
    <row r="75" spans="2:21" s="31" customFormat="1" x14ac:dyDescent="0.45">
      <c r="B75" s="25" t="str">
        <f>'Manual Data'!B12</f>
        <v>Cash-Flow from Operating Activity</v>
      </c>
      <c r="C75" s="67">
        <f>'Manual Data'!C12</f>
        <v>4953</v>
      </c>
      <c r="D75" s="67">
        <f>'Manual Data'!D12</f>
        <v>5913</v>
      </c>
      <c r="E75" s="67">
        <f>'Manual Data'!E12</f>
        <v>5728</v>
      </c>
      <c r="F75" s="67">
        <f>'Manual Data'!F12</f>
        <v>7305</v>
      </c>
      <c r="G75" s="67">
        <f>'Manual Data'!G12</f>
        <v>8957</v>
      </c>
      <c r="H75" s="67">
        <f>'Manual Data'!H12</f>
        <v>8964</v>
      </c>
      <c r="I75" s="67">
        <f>'Manual Data'!I12</f>
        <v>9626</v>
      </c>
      <c r="J75" s="67">
        <f>'Manual Data'!J12</f>
        <v>14884</v>
      </c>
      <c r="K75" s="67">
        <f>'Manual Data'!K12</f>
        <v>11606</v>
      </c>
      <c r="L75" s="67">
        <f>'Manual Data'!L12</f>
        <v>10496</v>
      </c>
      <c r="M75" s="68">
        <f>SUM(M66,M72,M73,M74)</f>
        <v>11571.99918715539</v>
      </c>
      <c r="N75" s="68">
        <f t="shared" ref="N75:Q75" si="35">SUM(N66,N72,N73,N74)</f>
        <v>12256.268138131967</v>
      </c>
      <c r="O75" s="68">
        <f t="shared" si="35"/>
        <v>12877.168121404986</v>
      </c>
      <c r="P75" s="68">
        <f t="shared" si="35"/>
        <v>13413.301485925382</v>
      </c>
      <c r="Q75" s="68">
        <f t="shared" si="35"/>
        <v>14062.570910937546</v>
      </c>
    </row>
    <row r="76" spans="2:21" x14ac:dyDescent="0.45">
      <c r="M76" s="64"/>
      <c r="N76" s="64"/>
      <c r="O76" s="64"/>
      <c r="P76" s="64"/>
      <c r="Q76" s="64"/>
    </row>
    <row r="77" spans="2:21" x14ac:dyDescent="0.45">
      <c r="B77" s="24" t="str">
        <f>'Manual Data'!B14</f>
        <v>Cash from Investing Activity </v>
      </c>
      <c r="M77" s="64"/>
      <c r="N77" s="64"/>
      <c r="O77" s="64"/>
      <c r="P77" s="64"/>
      <c r="Q77" s="64"/>
    </row>
    <row r="78" spans="2:21" x14ac:dyDescent="0.45">
      <c r="B78" s="34" t="str">
        <f>'Manual Data'!B15</f>
        <v>Fixed assets purchased</v>
      </c>
      <c r="C78" s="63">
        <f>'Manual Data'!C15</f>
        <v>-1024</v>
      </c>
      <c r="D78" s="63">
        <f>'Manual Data'!D15</f>
        <v>-853</v>
      </c>
      <c r="E78" s="63">
        <f>'Manual Data'!E15</f>
        <v>-728</v>
      </c>
      <c r="F78" s="63">
        <f>'Manual Data'!F15</f>
        <v>-765</v>
      </c>
      <c r="G78" s="63">
        <f>'Manual Data'!G15</f>
        <v>-4051</v>
      </c>
      <c r="H78" s="63">
        <f>'Manual Data'!H15</f>
        <v>-919</v>
      </c>
      <c r="I78" s="63">
        <f>'Manual Data'!I15</f>
        <v>-1041</v>
      </c>
      <c r="J78" s="63">
        <f>'Manual Data'!J15</f>
        <v>-1318</v>
      </c>
      <c r="K78" s="63">
        <f>'Manual Data'!K15</f>
        <v>-1149</v>
      </c>
      <c r="L78" s="63">
        <f>'Manual Data'!L15</f>
        <v>-1274</v>
      </c>
      <c r="M78" s="64">
        <f>-((M49-L49)+(M50-L50)+M16)</f>
        <v>-3482.8007398050399</v>
      </c>
      <c r="N78" s="64">
        <f t="shared" ref="N78:Q78" si="36">-((N49-M49)+(N50-M50)+N16)</f>
        <v>-2040.0211265373212</v>
      </c>
      <c r="O78" s="64">
        <f t="shared" si="36"/>
        <v>-1872.7043484801952</v>
      </c>
      <c r="P78" s="64">
        <f t="shared" si="36"/>
        <v>-2110.3687532656295</v>
      </c>
      <c r="Q78" s="64">
        <f t="shared" si="36"/>
        <v>-2172.3852663277439</v>
      </c>
    </row>
    <row r="79" spans="2:21" x14ac:dyDescent="0.45">
      <c r="B79" s="34" t="str">
        <f>'Manual Data'!B16</f>
        <v>Fixed assets sold</v>
      </c>
      <c r="C79" s="63">
        <f>'Manual Data'!C16</f>
        <v>172</v>
      </c>
      <c r="D79" s="63">
        <f>'Manual Data'!D16</f>
        <v>26</v>
      </c>
      <c r="E79" s="63">
        <f>'Manual Data'!E16</f>
        <v>4</v>
      </c>
      <c r="F79" s="63">
        <f>'Manual Data'!F16</f>
        <v>52</v>
      </c>
      <c r="G79" s="63">
        <f>'Manual Data'!G16</f>
        <v>97</v>
      </c>
      <c r="H79" s="63">
        <f>'Manual Data'!H16</f>
        <v>175</v>
      </c>
      <c r="I79" s="63">
        <f>'Manual Data'!I16</f>
        <v>180</v>
      </c>
      <c r="J79" s="63">
        <f>'Manual Data'!J16</f>
        <v>20</v>
      </c>
      <c r="K79" s="63">
        <f>'Manual Data'!K16</f>
        <v>13</v>
      </c>
      <c r="L79" s="63">
        <f>'Manual Data'!L16</f>
        <v>29</v>
      </c>
      <c r="M79" s="64">
        <f>AVERAGE(C79:L79)</f>
        <v>76.8</v>
      </c>
      <c r="N79" s="64">
        <f t="shared" ref="N79:Q79" si="37">AVERAGE(D79:M79)</f>
        <v>67.28</v>
      </c>
      <c r="O79" s="64">
        <f t="shared" si="37"/>
        <v>71.407999999999987</v>
      </c>
      <c r="P79" s="64">
        <f t="shared" si="37"/>
        <v>78.148799999999994</v>
      </c>
      <c r="Q79" s="64">
        <f t="shared" si="37"/>
        <v>80.763679999999994</v>
      </c>
    </row>
    <row r="80" spans="2:21" x14ac:dyDescent="0.45">
      <c r="B80" s="34" t="str">
        <f>'Manual Data'!B17</f>
        <v>Investments purchased</v>
      </c>
      <c r="C80" s="63">
        <f>'Manual Data'!C17</f>
        <v>-26230</v>
      </c>
      <c r="D80" s="63">
        <f>'Manual Data'!D17</f>
        <v>-47755</v>
      </c>
      <c r="E80" s="63">
        <f>'Manual Data'!E17</f>
        <v>-70434</v>
      </c>
      <c r="F80" s="63">
        <f>'Manual Data'!F17</f>
        <v>-34074</v>
      </c>
      <c r="G80" s="63">
        <f>'Manual Data'!G17</f>
        <v>-38450</v>
      </c>
      <c r="H80" s="63">
        <f>'Manual Data'!H17</f>
        <v>-47928</v>
      </c>
      <c r="I80" s="63">
        <f>'Manual Data'!I17</f>
        <v>-22631</v>
      </c>
      <c r="J80" s="63">
        <f>'Manual Data'!J17</f>
        <v>-21198</v>
      </c>
      <c r="K80" s="63">
        <f>'Manual Data'!K17</f>
        <v>-20943</v>
      </c>
      <c r="L80" s="63">
        <f>'Manual Data'!L17</f>
        <v>-23058</v>
      </c>
      <c r="M80" s="64">
        <v>0</v>
      </c>
      <c r="N80" s="64">
        <f>IF(N51&gt;M51,-ABS(N51-M51),ABS(N51-M51))</f>
        <v>-69.041498287966533</v>
      </c>
      <c r="O80" s="64">
        <f t="shared" ref="O80:Q80" si="38">IF(O51&gt;N51,-ABS(O51-N51),ABS(O51-N51))</f>
        <v>-237.28066477253742</v>
      </c>
      <c r="P80" s="64">
        <f t="shared" si="38"/>
        <v>-328.21057232371913</v>
      </c>
      <c r="Q80" s="64">
        <f t="shared" si="38"/>
        <v>-659.34376320462798</v>
      </c>
    </row>
    <row r="81" spans="2:17" x14ac:dyDescent="0.45">
      <c r="B81" s="34" t="str">
        <f>'Manual Data'!B18</f>
        <v>Investments sold</v>
      </c>
      <c r="C81" s="63">
        <f>'Manual Data'!C18</f>
        <v>25260</v>
      </c>
      <c r="D81" s="63">
        <f>'Manual Data'!D18</f>
        <v>48534</v>
      </c>
      <c r="E81" s="63">
        <f>'Manual Data'!E18</f>
        <v>70761</v>
      </c>
      <c r="F81" s="63">
        <f>'Manual Data'!F18</f>
        <v>35656</v>
      </c>
      <c r="G81" s="63">
        <f>'Manual Data'!G18</f>
        <v>37076</v>
      </c>
      <c r="H81" s="63">
        <f>'Manual Data'!H18</f>
        <v>47173</v>
      </c>
      <c r="I81" s="63">
        <f>'Manual Data'!I18</f>
        <v>23363</v>
      </c>
      <c r="J81" s="63">
        <f>'Manual Data'!J18</f>
        <v>19752</v>
      </c>
      <c r="K81" s="63">
        <f>'Manual Data'!K18</f>
        <v>21984</v>
      </c>
      <c r="L81" s="63">
        <f>'Manual Data'!L18</f>
        <v>22609</v>
      </c>
      <c r="M81" s="64">
        <f>IF(M51&gt;L51,-ABS(M51-L51),ABS(M51-L51))</f>
        <v>2988.4670327398926</v>
      </c>
      <c r="N81" s="64">
        <f t="shared" ref="N81:Q81" si="39">-N80</f>
        <v>69.041498287966533</v>
      </c>
      <c r="O81" s="64">
        <f t="shared" si="39"/>
        <v>237.28066477253742</v>
      </c>
      <c r="P81" s="64">
        <f t="shared" si="39"/>
        <v>328.21057232371913</v>
      </c>
      <c r="Q81" s="64">
        <f t="shared" si="39"/>
        <v>659.34376320462798</v>
      </c>
    </row>
    <row r="82" spans="2:17" x14ac:dyDescent="0.45">
      <c r="B82" s="34" t="str">
        <f>'Manual Data'!B19</f>
        <v>Interest received</v>
      </c>
      <c r="C82" s="63">
        <f>'Manual Data'!C19</f>
        <v>266</v>
      </c>
      <c r="D82" s="63">
        <f>'Manual Data'!D19</f>
        <v>229</v>
      </c>
      <c r="E82" s="63">
        <f>'Manual Data'!E19</f>
        <v>308</v>
      </c>
      <c r="F82" s="63">
        <f>'Manual Data'!F19</f>
        <v>359</v>
      </c>
      <c r="G82" s="63">
        <f>'Manual Data'!G19</f>
        <v>285</v>
      </c>
      <c r="H82" s="63">
        <f>'Manual Data'!H19</f>
        <v>171</v>
      </c>
      <c r="I82" s="63">
        <f>'Manual Data'!I19</f>
        <v>273</v>
      </c>
      <c r="J82" s="63">
        <f>'Manual Data'!J19</f>
        <v>417</v>
      </c>
      <c r="K82" s="63">
        <f>'Manual Data'!K19</f>
        <v>768</v>
      </c>
      <c r="L82" s="63">
        <f>'Manual Data'!L19</f>
        <v>431</v>
      </c>
      <c r="M82" s="64">
        <f>Calculation!L78</f>
        <v>625.14808293845215</v>
      </c>
      <c r="N82" s="64">
        <f>Calculation!M78</f>
        <v>642.26773894153973</v>
      </c>
      <c r="O82" s="64">
        <f>Calculation!N78</f>
        <v>686.13291385434127</v>
      </c>
      <c r="P82" s="64">
        <f>Calculation!O78</f>
        <v>723.33375740851625</v>
      </c>
      <c r="Q82" s="64">
        <f>Calculation!P78</f>
        <v>790.57103377856913</v>
      </c>
    </row>
    <row r="83" spans="2:17" x14ac:dyDescent="0.45">
      <c r="B83" s="34" t="str">
        <f>'Manual Data'!B20</f>
        <v>Dividends received</v>
      </c>
      <c r="C83" s="63">
        <f>'Manual Data'!C20</f>
        <v>178</v>
      </c>
      <c r="D83" s="63">
        <f>'Manual Data'!D20</f>
        <v>190</v>
      </c>
      <c r="E83" s="63">
        <f>'Manual Data'!E20</f>
        <v>103</v>
      </c>
      <c r="F83" s="63">
        <f>'Manual Data'!F20</f>
        <v>96</v>
      </c>
      <c r="G83" s="63">
        <f>'Manual Data'!G20</f>
        <v>102</v>
      </c>
      <c r="H83" s="63">
        <f>'Manual Data'!H20</f>
        <v>131</v>
      </c>
      <c r="I83" s="63">
        <f>'Manual Data'!I20</f>
        <v>118</v>
      </c>
      <c r="J83" s="63">
        <f>'Manual Data'!J20</f>
        <v>176</v>
      </c>
      <c r="K83" s="63">
        <f>'Manual Data'!K20</f>
        <v>169</v>
      </c>
      <c r="L83" s="63">
        <f>'Manual Data'!L20</f>
        <v>230</v>
      </c>
      <c r="M83" s="64">
        <f>Calculation!L83</f>
        <v>234.86147681397699</v>
      </c>
      <c r="N83" s="64">
        <f>Calculation!M83</f>
        <v>233.30462308212196</v>
      </c>
      <c r="O83" s="64">
        <f>Calculation!N83</f>
        <v>229.00658904335216</v>
      </c>
      <c r="P83" s="64">
        <f>Calculation!O83</f>
        <v>242.45911886584003</v>
      </c>
      <c r="Q83" s="64">
        <f>Calculation!P83</f>
        <v>247.67477614154711</v>
      </c>
    </row>
    <row r="84" spans="2:17" x14ac:dyDescent="0.45">
      <c r="B84" s="34" t="str">
        <f>'Manual Data'!B21</f>
        <v>Invest in subsidiaries</v>
      </c>
      <c r="C84" s="63">
        <f>'Manual Data'!C21</f>
        <v>0</v>
      </c>
      <c r="D84" s="63">
        <f>'Manual Data'!D21</f>
        <v>0</v>
      </c>
      <c r="E84" s="63">
        <f>'Manual Data'!E21</f>
        <v>0</v>
      </c>
      <c r="F84" s="63">
        <f>'Manual Data'!F21</f>
        <v>0</v>
      </c>
      <c r="G84" s="63">
        <f>'Manual Data'!G21</f>
        <v>-60</v>
      </c>
      <c r="H84" s="63">
        <f>'Manual Data'!H21</f>
        <v>-300</v>
      </c>
      <c r="I84" s="63">
        <f>'Manual Data'!I21</f>
        <v>-264</v>
      </c>
      <c r="J84" s="63">
        <f>'Manual Data'!J21</f>
        <v>0</v>
      </c>
      <c r="K84" s="63">
        <f>'Manual Data'!K21</f>
        <v>-5</v>
      </c>
      <c r="L84" s="63">
        <f>'Manual Data'!L21</f>
        <v>-3530</v>
      </c>
      <c r="M84" s="64">
        <f>AVERAGE(C84:L84)</f>
        <v>-415.9</v>
      </c>
      <c r="N84" s="64">
        <f t="shared" ref="N84:Q84" si="40">AVERAGE(D84:M84)</f>
        <v>-457.48999999999995</v>
      </c>
      <c r="O84" s="64">
        <f t="shared" si="40"/>
        <v>-503.23899999999992</v>
      </c>
      <c r="P84" s="64">
        <f t="shared" si="40"/>
        <v>-553.5628999999999</v>
      </c>
      <c r="Q84" s="64">
        <f t="shared" si="40"/>
        <v>-608.91918999999984</v>
      </c>
    </row>
    <row r="85" spans="2:17" x14ac:dyDescent="0.45">
      <c r="B85" s="34" t="str">
        <f>'Manual Data'!B22</f>
        <v>Loans to subsidiaries</v>
      </c>
      <c r="C85" s="63">
        <f>'Manual Data'!C22</f>
        <v>-84</v>
      </c>
      <c r="D85" s="63">
        <f>'Manual Data'!D22</f>
        <v>-183</v>
      </c>
      <c r="E85" s="63">
        <f>'Manual Data'!E22</f>
        <v>-248</v>
      </c>
      <c r="F85" s="63">
        <f>'Manual Data'!F22</f>
        <v>-292</v>
      </c>
      <c r="G85" s="63">
        <f>'Manual Data'!G22</f>
        <v>-180</v>
      </c>
      <c r="H85" s="63">
        <f>'Manual Data'!H22</f>
        <v>-436</v>
      </c>
      <c r="I85" s="63">
        <f>'Manual Data'!I22</f>
        <v>-493</v>
      </c>
      <c r="J85" s="63">
        <f>'Manual Data'!J22</f>
        <v>-431</v>
      </c>
      <c r="K85" s="63">
        <f>'Manual Data'!K22</f>
        <v>-362</v>
      </c>
      <c r="L85" s="63">
        <f>'Manual Data'!L22</f>
        <v>-171</v>
      </c>
      <c r="M85" s="64">
        <f>AVERAGE(C85:L85)</f>
        <v>-288</v>
      </c>
      <c r="N85" s="64">
        <f t="shared" ref="N85:Q85" si="41">AVERAGE(D85:M85)</f>
        <v>-308.39999999999998</v>
      </c>
      <c r="O85" s="64">
        <f t="shared" si="41"/>
        <v>-320.94</v>
      </c>
      <c r="P85" s="64">
        <f t="shared" si="41"/>
        <v>-328.23400000000004</v>
      </c>
      <c r="Q85" s="64">
        <f t="shared" si="41"/>
        <v>-331.85739999999998</v>
      </c>
    </row>
    <row r="86" spans="2:17" x14ac:dyDescent="0.45">
      <c r="B86" s="34" t="str">
        <f>'Manual Data'!B23</f>
        <v>Redemp n Canc of Shares</v>
      </c>
      <c r="C86" s="63">
        <f>'Manual Data'!C23</f>
        <v>20</v>
      </c>
      <c r="D86" s="63">
        <f>'Manual Data'!D23</f>
        <v>73</v>
      </c>
      <c r="E86" s="63">
        <f>'Manual Data'!E23</f>
        <v>0</v>
      </c>
      <c r="F86" s="63">
        <f>'Manual Data'!F23</f>
        <v>0</v>
      </c>
      <c r="G86" s="63">
        <f>'Manual Data'!G23</f>
        <v>0</v>
      </c>
      <c r="H86" s="63">
        <f>'Manual Data'!H23</f>
        <v>0</v>
      </c>
      <c r="I86" s="63">
        <f>'Manual Data'!I23</f>
        <v>0</v>
      </c>
      <c r="J86" s="63">
        <f>'Manual Data'!J23</f>
        <v>0</v>
      </c>
      <c r="K86" s="63">
        <f>'Manual Data'!K23</f>
        <v>0</v>
      </c>
      <c r="L86" s="63">
        <f>'Manual Data'!$L$23</f>
        <v>298</v>
      </c>
      <c r="M86" s="64">
        <f>AVERAGE(C86:L86)</f>
        <v>39.1</v>
      </c>
      <c r="N86" s="64">
        <f t="shared" ref="N86:Q86" si="42">AVERAGE(D86:M86)</f>
        <v>41.010000000000005</v>
      </c>
      <c r="O86" s="64">
        <f t="shared" si="42"/>
        <v>37.811</v>
      </c>
      <c r="P86" s="64">
        <f t="shared" si="42"/>
        <v>41.592100000000002</v>
      </c>
      <c r="Q86" s="64">
        <f t="shared" si="42"/>
        <v>45.751310000000004</v>
      </c>
    </row>
    <row r="87" spans="2:17" x14ac:dyDescent="0.45">
      <c r="B87" s="34" t="str">
        <f>'Manual Data'!B24</f>
        <v>Acquisition of companies</v>
      </c>
      <c r="C87" s="63">
        <f>'Manual Data'!C24</f>
        <v>0</v>
      </c>
      <c r="D87" s="63">
        <f>'Manual Data'!D24</f>
        <v>0</v>
      </c>
      <c r="E87" s="63">
        <f>'Manual Data'!E24</f>
        <v>0</v>
      </c>
      <c r="F87" s="63">
        <f>'Manual Data'!F24</f>
        <v>0</v>
      </c>
      <c r="G87" s="63">
        <f>'Manual Data'!G24</f>
        <v>0</v>
      </c>
      <c r="H87" s="63">
        <f>'Manual Data'!H24</f>
        <v>0</v>
      </c>
      <c r="I87" s="63">
        <f>'Manual Data'!I24</f>
        <v>0</v>
      </c>
      <c r="J87" s="63">
        <f>'Manual Data'!J24</f>
        <v>0</v>
      </c>
      <c r="K87" s="63">
        <f>'Manual Data'!K24</f>
        <v>0</v>
      </c>
      <c r="L87" s="63">
        <f>'Manual Data'!L24</f>
        <v>0</v>
      </c>
      <c r="M87" s="64">
        <f>'Manual Data'!M24</f>
        <v>0</v>
      </c>
      <c r="N87" s="64">
        <f>'Manual Data'!N24</f>
        <v>0</v>
      </c>
      <c r="O87" s="64">
        <f>'Manual Data'!O24</f>
        <v>0</v>
      </c>
      <c r="P87" s="64">
        <f>'Manual Data'!P24</f>
        <v>0</v>
      </c>
      <c r="Q87" s="64">
        <f>'Manual Data'!Q24</f>
        <v>0</v>
      </c>
    </row>
    <row r="88" spans="2:17" ht="14.65" thickBot="1" x14ac:dyDescent="0.5">
      <c r="B88" s="34" t="str">
        <f>'Manual Data'!B25</f>
        <v>Other investing items</v>
      </c>
      <c r="C88" s="63">
        <f>'Manual Data'!C25</f>
        <v>690</v>
      </c>
      <c r="D88" s="63">
        <f>'Manual Data'!D25</f>
        <v>-1522</v>
      </c>
      <c r="E88" s="63">
        <f>'Manual Data'!E25</f>
        <v>-30</v>
      </c>
      <c r="F88" s="63">
        <f>'Manual Data'!F25</f>
        <v>894</v>
      </c>
      <c r="G88" s="63">
        <f>'Manual Data'!G25</f>
        <v>4114</v>
      </c>
      <c r="H88" s="63">
        <f>'Manual Data'!H25</f>
        <v>201</v>
      </c>
      <c r="I88" s="63">
        <f>'Manual Data'!I25</f>
        <v>-567</v>
      </c>
      <c r="J88" s="63">
        <f>'Manual Data'!J25</f>
        <v>-2389</v>
      </c>
      <c r="K88" s="63">
        <f>'Manual Data'!K25</f>
        <v>6288</v>
      </c>
      <c r="L88" s="63">
        <f>'Manual Data'!L25</f>
        <v>963</v>
      </c>
      <c r="M88" s="64">
        <f>AVERAGE(C88:L88)</f>
        <v>864.2</v>
      </c>
      <c r="N88" s="64">
        <f t="shared" ref="N88:Q88" si="43">AVERAGE(D88:M88)</f>
        <v>881.62000000000012</v>
      </c>
      <c r="O88" s="64">
        <f t="shared" si="43"/>
        <v>1121.9820000000002</v>
      </c>
      <c r="P88" s="64">
        <f t="shared" si="43"/>
        <v>1237.1802000000002</v>
      </c>
      <c r="Q88" s="64">
        <f t="shared" si="43"/>
        <v>1271.4982200000002</v>
      </c>
    </row>
    <row r="89" spans="2:17" x14ac:dyDescent="0.45">
      <c r="B89" s="25" t="str">
        <f>'Manual Data'!B26</f>
        <v>Cash-Flow from Investing Activity</v>
      </c>
      <c r="C89" s="67">
        <f>'Manual Data'!C26</f>
        <v>-752</v>
      </c>
      <c r="D89" s="67">
        <f>'Manual Data'!D26</f>
        <v>-1261</v>
      </c>
      <c r="E89" s="67">
        <f>'Manual Data'!E26</f>
        <v>-264</v>
      </c>
      <c r="F89" s="67">
        <f>'Manual Data'!F26</f>
        <v>1926</v>
      </c>
      <c r="G89" s="67">
        <f>'Manual Data'!G26</f>
        <v>-1067</v>
      </c>
      <c r="H89" s="67">
        <f>'Manual Data'!H26</f>
        <v>-1732</v>
      </c>
      <c r="I89" s="67">
        <f>'Manual Data'!I26</f>
        <v>-1062</v>
      </c>
      <c r="J89" s="67">
        <f>'Manual Data'!J26</f>
        <v>-4971</v>
      </c>
      <c r="K89" s="67">
        <f>'Manual Data'!K26</f>
        <v>6763</v>
      </c>
      <c r="L89" s="67">
        <f>'Manual Data'!L26</f>
        <v>-3473</v>
      </c>
      <c r="M89" s="68">
        <f>SUM(M78:M88)</f>
        <v>641.87585268728208</v>
      </c>
      <c r="N89" s="68">
        <f t="shared" ref="N89:Q89" si="44">SUM(N78:N88)</f>
        <v>-940.42876451365919</v>
      </c>
      <c r="O89" s="68">
        <f t="shared" si="44"/>
        <v>-550.54284558250174</v>
      </c>
      <c r="P89" s="68">
        <f t="shared" si="44"/>
        <v>-669.45167699127273</v>
      </c>
      <c r="Q89" s="68">
        <f t="shared" si="44"/>
        <v>-676.90283640762732</v>
      </c>
    </row>
    <row r="90" spans="2:17" x14ac:dyDescent="0.45">
      <c r="M90" s="64"/>
      <c r="N90" s="64"/>
      <c r="O90" s="64"/>
      <c r="P90" s="64"/>
      <c r="Q90" s="64"/>
    </row>
    <row r="91" spans="2:17" x14ac:dyDescent="0.45">
      <c r="B91" s="24" t="str">
        <f>'Manual Data'!B28</f>
        <v>Cash from Financing Activity </v>
      </c>
      <c r="M91" s="64"/>
      <c r="N91" s="64"/>
      <c r="O91" s="64"/>
      <c r="P91" s="64"/>
      <c r="Q91" s="64"/>
    </row>
    <row r="92" spans="2:17" x14ac:dyDescent="0.45">
      <c r="B92" s="34" t="str">
        <f>'Manual Data'!B29</f>
        <v>Proceeds from shares</v>
      </c>
      <c r="C92" s="63">
        <f>'Manual Data'!C29</f>
        <v>0</v>
      </c>
      <c r="D92" s="63">
        <f>'Manual Data'!D29</f>
        <v>0</v>
      </c>
      <c r="E92" s="63">
        <f>'Manual Data'!E29</f>
        <v>0</v>
      </c>
      <c r="F92" s="63">
        <f>'Manual Data'!F29</f>
        <v>0</v>
      </c>
      <c r="G92" s="63">
        <f>'Manual Data'!G29</f>
        <v>0</v>
      </c>
      <c r="H92" s="63">
        <f>'Manual Data'!H29</f>
        <v>0</v>
      </c>
      <c r="I92" s="63">
        <f>'Manual Data'!I29</f>
        <v>0</v>
      </c>
      <c r="J92" s="63">
        <f>'Manual Data'!J29</f>
        <v>0</v>
      </c>
      <c r="K92" s="63">
        <f>'Manual Data'!K29</f>
        <v>0</v>
      </c>
      <c r="L92" s="63">
        <f>'Manual Data'!L29</f>
        <v>0</v>
      </c>
      <c r="M92" s="64">
        <f>'Manual Data'!M29</f>
        <v>0</v>
      </c>
      <c r="N92" s="64">
        <f>'Manual Data'!N29</f>
        <v>0</v>
      </c>
      <c r="O92" s="64">
        <f>'Manual Data'!O29</f>
        <v>0</v>
      </c>
      <c r="P92" s="64">
        <f>'Manual Data'!P29</f>
        <v>0</v>
      </c>
      <c r="Q92" s="64">
        <f>'Manual Data'!Q29</f>
        <v>0</v>
      </c>
    </row>
    <row r="93" spans="2:17" x14ac:dyDescent="0.45">
      <c r="B93" s="34" t="str">
        <f>'Manual Data'!B30</f>
        <v>Interest paid fin</v>
      </c>
      <c r="C93" s="63">
        <f>'Manual Data'!C30</f>
        <v>0</v>
      </c>
      <c r="D93" s="63">
        <f>'Manual Data'!D30</f>
        <v>0</v>
      </c>
      <c r="E93" s="63">
        <f>'Manual Data'!E30</f>
        <v>-3</v>
      </c>
      <c r="F93" s="63">
        <f>'Manual Data'!F30</f>
        <v>-80</v>
      </c>
      <c r="G93" s="63">
        <f>'Manual Data'!G30</f>
        <v>-86</v>
      </c>
      <c r="H93" s="63">
        <f>'Manual Data'!H30</f>
        <v>-77</v>
      </c>
      <c r="I93" s="63">
        <f>'Manual Data'!I30</f>
        <v>-76</v>
      </c>
      <c r="J93" s="63">
        <f>'Manual Data'!J30</f>
        <v>-98</v>
      </c>
      <c r="K93" s="63">
        <f>'Manual Data'!K30</f>
        <v>-118</v>
      </c>
      <c r="L93" s="63">
        <f>'Manual Data'!L30</f>
        <v>-117</v>
      </c>
      <c r="M93" s="64">
        <f>Calculation!L87</f>
        <v>-108.40055537710805</v>
      </c>
      <c r="N93" s="64">
        <f>Calculation!M87</f>
        <v>-61.79137035301391</v>
      </c>
      <c r="O93" s="64">
        <f>Calculation!N87</f>
        <v>-76.296973714057245</v>
      </c>
      <c r="P93" s="64">
        <f>Calculation!O87</f>
        <v>-86.463384018630435</v>
      </c>
      <c r="Q93" s="64">
        <f>Calculation!P87</f>
        <v>-96.377117929927394</v>
      </c>
    </row>
    <row r="94" spans="2:17" x14ac:dyDescent="0.45">
      <c r="B94" s="34" t="str">
        <f>'Manual Data'!B31</f>
        <v>Dividends paid</v>
      </c>
      <c r="C94" s="63">
        <f>'Manual Data'!C31</f>
        <v>-3561</v>
      </c>
      <c r="D94" s="63">
        <f>'Manual Data'!D31</f>
        <v>-3896</v>
      </c>
      <c r="E94" s="63">
        <f>'Manual Data'!E31</f>
        <v>-4546</v>
      </c>
      <c r="F94" s="63">
        <f>'Manual Data'!F31</f>
        <v>-5196</v>
      </c>
      <c r="G94" s="63">
        <f>'Manual Data'!G31</f>
        <v>-8811</v>
      </c>
      <c r="H94" s="63">
        <f>'Manual Data'!H31</f>
        <v>-7519</v>
      </c>
      <c r="I94" s="63">
        <f>'Manual Data'!I31</f>
        <v>-8459</v>
      </c>
      <c r="J94" s="63">
        <f>'Manual Data'!J31</f>
        <v>-9398</v>
      </c>
      <c r="K94" s="63">
        <f>'Manual Data'!K31</f>
        <v>-12453</v>
      </c>
      <c r="L94" s="63">
        <f>'Manual Data'!L31</f>
        <v>-10103</v>
      </c>
      <c r="M94" s="64">
        <f>Calculation!L42</f>
        <v>-11371.615750297895</v>
      </c>
      <c r="N94" s="64">
        <f>Calculation!M42</f>
        <v>-12525.268568281808</v>
      </c>
      <c r="O94" s="64">
        <f>Calculation!N42</f>
        <v>-13609.738906761608</v>
      </c>
      <c r="P94" s="64">
        <f>Calculation!O42</f>
        <v>-14613.860048109464</v>
      </c>
      <c r="Q94" s="64">
        <f>Calculation!P42</f>
        <v>-15743.514568332015</v>
      </c>
    </row>
    <row r="95" spans="2:17" x14ac:dyDescent="0.45">
      <c r="B95" s="34" t="str">
        <f>'Manual Data'!B32</f>
        <v>Financial liabilities</v>
      </c>
      <c r="C95" s="63">
        <f>'Manual Data'!C32</f>
        <v>0</v>
      </c>
      <c r="D95" s="63">
        <f>'Manual Data'!D32</f>
        <v>0</v>
      </c>
      <c r="E95" s="63">
        <f>'Manual Data'!E32</f>
        <v>0</v>
      </c>
      <c r="F95" s="63">
        <f>'Manual Data'!F32</f>
        <v>-352</v>
      </c>
      <c r="G95" s="63">
        <f>'Manual Data'!G32</f>
        <v>-383</v>
      </c>
      <c r="H95" s="63">
        <f>'Manual Data'!H32</f>
        <v>-388</v>
      </c>
      <c r="I95" s="63">
        <f>'Manual Data'!I32</f>
        <v>-431</v>
      </c>
      <c r="J95" s="63">
        <f>'Manual Data'!J32</f>
        <v>-394</v>
      </c>
      <c r="K95" s="63">
        <f>'Manual Data'!K32</f>
        <v>-460</v>
      </c>
      <c r="L95" s="63">
        <f>'Manual Data'!$L$32</f>
        <v>-464</v>
      </c>
      <c r="M95" s="64">
        <f>AVERAGE(C95:K95)</f>
        <v>-267.55555555555554</v>
      </c>
      <c r="N95" s="64">
        <f t="shared" ref="N95:Q95" si="45">AVERAGE(D95:L95)</f>
        <v>-319.11111111111109</v>
      </c>
      <c r="O95" s="64">
        <f t="shared" si="45"/>
        <v>-348.83950617283949</v>
      </c>
      <c r="P95" s="64">
        <f t="shared" si="45"/>
        <v>-384.2962962962963</v>
      </c>
      <c r="Q95" s="64">
        <f t="shared" si="45"/>
        <v>-383.94513031550076</v>
      </c>
    </row>
    <row r="96" spans="2:17" ht="14.65" thickBot="1" x14ac:dyDescent="0.5">
      <c r="B96" s="34" t="str">
        <f>'Manual Data'!B33</f>
        <v>Other financing items</v>
      </c>
      <c r="C96" s="63">
        <f>'Manual Data'!C33</f>
        <v>-703</v>
      </c>
      <c r="D96" s="63">
        <f>'Manual Data'!D33</f>
        <v>-755</v>
      </c>
      <c r="E96" s="63">
        <f>'Manual Data'!E33</f>
        <v>-913</v>
      </c>
      <c r="F96" s="63">
        <f>'Manual Data'!F33</f>
        <v>-1048</v>
      </c>
      <c r="G96" s="63">
        <f>'Manual Data'!G33</f>
        <v>0</v>
      </c>
      <c r="H96" s="63">
        <f>'Manual Data'!H33</f>
        <v>0</v>
      </c>
      <c r="I96" s="63">
        <f>'Manual Data'!I33</f>
        <v>0</v>
      </c>
      <c r="J96" s="63">
        <f>'Manual Data'!J33</f>
        <v>0</v>
      </c>
      <c r="K96" s="63">
        <f>'Manual Data'!K33</f>
        <v>0</v>
      </c>
      <c r="L96" s="63">
        <f>'Manual Data'!L33</f>
        <v>0</v>
      </c>
      <c r="M96" s="64">
        <f>'Manual Data'!M33</f>
        <v>0</v>
      </c>
      <c r="N96" s="64">
        <f>'Manual Data'!N33</f>
        <v>0</v>
      </c>
      <c r="O96" s="64">
        <f>'Manual Data'!O33</f>
        <v>0</v>
      </c>
      <c r="P96" s="64">
        <f>'Manual Data'!P33</f>
        <v>0</v>
      </c>
      <c r="Q96" s="64">
        <f>'Manual Data'!Q33</f>
        <v>0</v>
      </c>
    </row>
    <row r="97" spans="1:17" x14ac:dyDescent="0.45">
      <c r="B97" s="25" t="str">
        <f>'Manual Data'!B34</f>
        <v>Cash-Flow from Financing Activity</v>
      </c>
      <c r="C97" s="67">
        <f>'Manual Data'!C34</f>
        <v>-4264</v>
      </c>
      <c r="D97" s="67">
        <f>'Manual Data'!D34</f>
        <v>-4651</v>
      </c>
      <c r="E97" s="67">
        <f>'Manual Data'!E34</f>
        <v>-5462</v>
      </c>
      <c r="F97" s="67">
        <f>'Manual Data'!F34</f>
        <v>-6676</v>
      </c>
      <c r="G97" s="67">
        <f>'Manual Data'!G34</f>
        <v>-9280</v>
      </c>
      <c r="H97" s="67">
        <f>'Manual Data'!H34</f>
        <v>-7984</v>
      </c>
      <c r="I97" s="67">
        <f>'Manual Data'!I34</f>
        <v>-8966</v>
      </c>
      <c r="J97" s="67">
        <f>'Manual Data'!J34</f>
        <v>-9890</v>
      </c>
      <c r="K97" s="67">
        <f>'Manual Data'!K34</f>
        <v>-13031</v>
      </c>
      <c r="L97" s="67">
        <f>'Manual Data'!L34</f>
        <v>-10684</v>
      </c>
      <c r="M97" s="73">
        <f>SUM(M92:M96)</f>
        <v>-11747.571861230557</v>
      </c>
      <c r="N97" s="73">
        <f t="shared" ref="N97:Q97" si="46">SUM(N92:N96)</f>
        <v>-12906.171049745933</v>
      </c>
      <c r="O97" s="73">
        <f t="shared" si="46"/>
        <v>-14034.875386648504</v>
      </c>
      <c r="P97" s="73">
        <f t="shared" si="46"/>
        <v>-15084.61972842439</v>
      </c>
      <c r="Q97" s="73">
        <f t="shared" si="46"/>
        <v>-16223.836816577443</v>
      </c>
    </row>
    <row r="98" spans="1:17" ht="14.65" thickBot="1" x14ac:dyDescent="0.5">
      <c r="B98" s="238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240"/>
      <c r="N98" s="240"/>
      <c r="O98" s="240"/>
      <c r="P98" s="240"/>
      <c r="Q98" s="240"/>
    </row>
    <row r="99" spans="1:17" s="31" customFormat="1" ht="15" thickTop="1" thickBot="1" x14ac:dyDescent="0.5">
      <c r="A99" s="28"/>
      <c r="B99" s="26" t="str">
        <f>'Manual Data'!B36</f>
        <v>Net Cash Flow</v>
      </c>
      <c r="C99" s="69">
        <f>'Manual Data'!C36</f>
        <v>-63</v>
      </c>
      <c r="D99" s="69">
        <f>'Manual Data'!D36</f>
        <v>1</v>
      </c>
      <c r="E99" s="69">
        <f>'Manual Data'!E36</f>
        <v>2</v>
      </c>
      <c r="F99" s="69">
        <f>'Manual Data'!F36</f>
        <v>2555</v>
      </c>
      <c r="G99" s="69">
        <f>'Manual Data'!G36</f>
        <v>-1390</v>
      </c>
      <c r="H99" s="69">
        <f>'Manual Data'!H36</f>
        <v>-752</v>
      </c>
      <c r="I99" s="69">
        <f>'Manual Data'!I36</f>
        <v>-402</v>
      </c>
      <c r="J99" s="69">
        <f>'Manual Data'!J36</f>
        <v>23</v>
      </c>
      <c r="K99" s="69">
        <f>'Manual Data'!K36</f>
        <v>5338</v>
      </c>
      <c r="L99" s="70">
        <f>'Manual Data'!L36</f>
        <v>-3661</v>
      </c>
      <c r="M99" s="71">
        <f>SUM(M97,M89,M75)</f>
        <v>466.30317861211552</v>
      </c>
      <c r="N99" s="71">
        <f>SUM(N97,N89,N75)</f>
        <v>-1590.3316761276255</v>
      </c>
      <c r="O99" s="71">
        <f>SUM(O97,O89,O75)</f>
        <v>-1708.2501108260203</v>
      </c>
      <c r="P99" s="71">
        <f>SUM(P97,P89,P75)</f>
        <v>-2340.7699194902816</v>
      </c>
      <c r="Q99" s="71">
        <f>SUM(Q97,Q89,Q75)</f>
        <v>-2838.1687420475246</v>
      </c>
    </row>
    <row r="101" spans="1:17" x14ac:dyDescent="0.45">
      <c r="N101" s="74"/>
    </row>
  </sheetData>
  <mergeCells count="1">
    <mergeCell ref="B1:Q1"/>
  </mergeCells>
  <pageMargins left="0.7" right="0.7" top="0.75" bottom="0.75" header="0.3" footer="0.3"/>
  <pageSetup paperSize="9" orientation="portrait" r:id="rId1"/>
  <ignoredErrors>
    <ignoredError sqref="M6:Q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31BD-A30C-46CC-926F-298ACE9C6081}">
  <dimension ref="A3:W90"/>
  <sheetViews>
    <sheetView workbookViewId="0">
      <pane ySplit="3" topLeftCell="A71" activePane="bottomLeft" state="frozen"/>
      <selection pane="bottomLeft" activeCell="O94" sqref="O94"/>
    </sheetView>
  </sheetViews>
  <sheetFormatPr defaultRowHeight="14.25" x14ac:dyDescent="0.45"/>
  <cols>
    <col min="1" max="1" width="21.33203125" style="114" bestFit="1" customWidth="1"/>
    <col min="2" max="11" width="8.9296875" bestFit="1" customWidth="1"/>
    <col min="12" max="12" width="9.06640625" style="2"/>
    <col min="13" max="13" width="8.9296875" style="2" bestFit="1" customWidth="1"/>
    <col min="14" max="16" width="9.06640625" style="2"/>
    <col min="18" max="22" width="13.265625" bestFit="1" customWidth="1"/>
  </cols>
  <sheetData>
    <row r="3" spans="1:16" ht="15.75" x14ac:dyDescent="0.5">
      <c r="A3" s="188" t="str">
        <f>'Historical Financial Statement'!B2</f>
        <v>Report Date</v>
      </c>
      <c r="B3" s="55">
        <f>'Historical Financial Statement'!C2</f>
        <v>42825</v>
      </c>
      <c r="C3" s="55">
        <f>'Historical Financial Statement'!D2</f>
        <v>43190</v>
      </c>
      <c r="D3" s="55">
        <f>'Historical Financial Statement'!E2</f>
        <v>43555</v>
      </c>
      <c r="E3" s="55">
        <f>'Historical Financial Statement'!F2</f>
        <v>43921</v>
      </c>
      <c r="F3" s="55">
        <f>'Historical Financial Statement'!G2</f>
        <v>44286</v>
      </c>
      <c r="G3" s="55">
        <f>'Historical Financial Statement'!H2</f>
        <v>44651</v>
      </c>
      <c r="H3" s="55">
        <f>'Historical Financial Statement'!I2</f>
        <v>45016</v>
      </c>
      <c r="I3" s="55">
        <f>'Historical Financial Statement'!J2</f>
        <v>45382</v>
      </c>
      <c r="J3" s="55">
        <f>'Historical Financial Statement'!K2</f>
        <v>45747</v>
      </c>
      <c r="K3" s="55">
        <f>'Historical Financial Statement'!L2</f>
        <v>46112</v>
      </c>
      <c r="L3" s="186">
        <f>'Historical Financial Statement'!M2</f>
        <v>46477</v>
      </c>
      <c r="M3" s="186">
        <f>'Historical Financial Statement'!N2</f>
        <v>46842</v>
      </c>
      <c r="N3" s="186">
        <f>'Historical Financial Statement'!O2</f>
        <v>47207</v>
      </c>
      <c r="O3" s="186">
        <f>'Historical Financial Statement'!P2</f>
        <v>47572</v>
      </c>
      <c r="P3" s="186">
        <f>'Historical Financial Statement'!Q2</f>
        <v>47937</v>
      </c>
    </row>
    <row r="4" spans="1:16" x14ac:dyDescent="0.45">
      <c r="A4" s="114" t="str">
        <f>'Historical Financial Statement'!B5</f>
        <v>Sales</v>
      </c>
      <c r="B4">
        <f>'Historical Financial Statement'!C5</f>
        <v>31890</v>
      </c>
      <c r="C4">
        <f>'Historical Financial Statement'!D5</f>
        <v>34525</v>
      </c>
      <c r="D4">
        <f>'Historical Financial Statement'!E5</f>
        <v>38224</v>
      </c>
      <c r="E4">
        <f>'Historical Financial Statement'!F5</f>
        <v>38785</v>
      </c>
      <c r="F4">
        <f>'Historical Financial Statement'!G5</f>
        <v>45996</v>
      </c>
      <c r="G4">
        <f>'Historical Financial Statement'!H5</f>
        <v>51193</v>
      </c>
      <c r="H4">
        <f>'Historical Financial Statement'!I5</f>
        <v>59144</v>
      </c>
      <c r="I4">
        <f>'Historical Financial Statement'!J5</f>
        <v>60469</v>
      </c>
      <c r="J4">
        <f>'Historical Financial Statement'!K5</f>
        <v>59676</v>
      </c>
      <c r="K4">
        <f>'Historical Financial Statement'!L5</f>
        <v>61975</v>
      </c>
      <c r="L4" s="2">
        <f>'Historical Financial Statement'!M5</f>
        <v>69674.132307552136</v>
      </c>
      <c r="M4" s="2">
        <f>'Historical Financial Statement'!N5</f>
        <v>73440.497926846874</v>
      </c>
      <c r="N4" s="2">
        <f>'Historical Financial Statement'!O5</f>
        <v>77217.154085345377</v>
      </c>
      <c r="O4" s="2">
        <f>'Historical Financial Statement'!P5</f>
        <v>80993.838514556002</v>
      </c>
      <c r="P4" s="2">
        <f>'Historical Financial Statement'!Q5</f>
        <v>84770.522943766613</v>
      </c>
    </row>
    <row r="5" spans="1:16" x14ac:dyDescent="0.45">
      <c r="A5" s="114" t="str">
        <f>'Historical Financial Statement'!B7</f>
        <v>COGS</v>
      </c>
      <c r="B5">
        <f>'Historical Financial Statement'!C7</f>
        <v>17969</v>
      </c>
      <c r="C5">
        <f>'Historical Financial Statement'!D7</f>
        <v>18750</v>
      </c>
      <c r="D5">
        <f>'Historical Financial Statement'!E7</f>
        <v>20476</v>
      </c>
      <c r="E5">
        <f>'Historical Financial Statement'!F7</f>
        <v>20071</v>
      </c>
      <c r="F5">
        <f>'Historical Financial Statement'!G7</f>
        <v>24773</v>
      </c>
      <c r="G5">
        <f>'Historical Financial Statement'!H7</f>
        <v>28384</v>
      </c>
      <c r="H5">
        <f>'Historical Financial Statement'!I7</f>
        <v>34684</v>
      </c>
      <c r="I5">
        <f>'Historical Financial Statement'!J7</f>
        <v>33049</v>
      </c>
      <c r="J5">
        <f>'Historical Financial Statement'!K7</f>
        <v>32931</v>
      </c>
      <c r="K5">
        <f>'Historical Financial Statement'!L7</f>
        <v>34774</v>
      </c>
      <c r="L5" s="190">
        <f>L4*$B$7</f>
        <v>38311.554833676098</v>
      </c>
      <c r="M5" s="190">
        <f>M4*C7</f>
        <v>40282.675084096605</v>
      </c>
      <c r="N5" s="190">
        <f>N4*D7</f>
        <v>42396.074214905646</v>
      </c>
      <c r="O5" s="190">
        <f>O4*E7</f>
        <v>44577.915381254359</v>
      </c>
      <c r="P5" s="190">
        <f>P4*F7</f>
        <v>46935.38400742464</v>
      </c>
    </row>
    <row r="6" spans="1:16" x14ac:dyDescent="0.45">
      <c r="A6" s="114" t="s">
        <v>217</v>
      </c>
      <c r="B6" s="184">
        <f>B5/B4</f>
        <v>0.56346817184070241</v>
      </c>
      <c r="C6" s="184">
        <f t="shared" ref="C6:K6" si="0">C5/C4</f>
        <v>0.54308472121650975</v>
      </c>
      <c r="D6" s="184">
        <f t="shared" si="0"/>
        <v>0.53568438677270824</v>
      </c>
      <c r="E6" s="184">
        <f t="shared" si="0"/>
        <v>0.51749387649864642</v>
      </c>
      <c r="F6" s="184">
        <f t="shared" si="0"/>
        <v>0.53859031220106102</v>
      </c>
      <c r="G6" s="184">
        <f t="shared" si="0"/>
        <v>0.55445080382083489</v>
      </c>
      <c r="H6" s="184">
        <f t="shared" si="0"/>
        <v>0.58643311240362506</v>
      </c>
      <c r="I6" s="184">
        <f t="shared" si="0"/>
        <v>0.54654451041029284</v>
      </c>
      <c r="J6" s="184">
        <f t="shared" si="0"/>
        <v>0.55182988135934041</v>
      </c>
      <c r="K6" s="184">
        <f t="shared" si="0"/>
        <v>0.56109721661960466</v>
      </c>
      <c r="L6" s="109">
        <f t="shared" ref="L6" si="1">L5/L4</f>
        <v>0.54986769931433255</v>
      </c>
      <c r="M6" s="109">
        <f t="shared" ref="M6" si="2">M5/M4</f>
        <v>0.54850765206169561</v>
      </c>
      <c r="N6" s="109">
        <f t="shared" ref="N6" si="3">N5/N4</f>
        <v>0.54904994514621419</v>
      </c>
      <c r="O6" s="109">
        <f t="shared" ref="O6" si="4">O5/O4</f>
        <v>0.55038650098356467</v>
      </c>
      <c r="P6" s="109">
        <f t="shared" ref="P6" si="5">P5/P4</f>
        <v>0.55367576343205649</v>
      </c>
    </row>
    <row r="7" spans="1:16" x14ac:dyDescent="0.45">
      <c r="A7" s="114" t="s">
        <v>218</v>
      </c>
      <c r="B7" s="105">
        <f>AVERAGE(B6:K6)</f>
        <v>0.54986769931433255</v>
      </c>
      <c r="C7" s="105">
        <f>AVERAGE(C6:L6)</f>
        <v>0.54850765206169561</v>
      </c>
      <c r="D7" s="105">
        <f>AVERAGE(D6:M6)</f>
        <v>0.54904994514621419</v>
      </c>
      <c r="E7" s="105">
        <f>AVERAGE(E6:N6)</f>
        <v>0.55038650098356467</v>
      </c>
      <c r="F7" s="105">
        <f>AVERAGE(F6:O6)</f>
        <v>0.55367576343205649</v>
      </c>
    </row>
    <row r="9" spans="1:16" x14ac:dyDescent="0.45">
      <c r="A9" s="114" t="str">
        <f>'Historical Financial Statement'!B11</f>
        <v>Selling and admin</v>
      </c>
      <c r="B9">
        <f>'Historical Financial Statement'!C11</f>
        <v>6508</v>
      </c>
      <c r="C9">
        <f>'Historical Financial Statement'!D11</f>
        <v>7105</v>
      </c>
      <c r="D9">
        <f>'Historical Financial Statement'!E11</f>
        <v>7645</v>
      </c>
      <c r="E9">
        <f>'Historical Financial Statement'!F11</f>
        <v>7523</v>
      </c>
      <c r="F9">
        <f>'Historical Financial Statement'!G11</f>
        <v>7783</v>
      </c>
      <c r="G9">
        <f>'Historical Financial Statement'!H11</f>
        <v>8046</v>
      </c>
      <c r="H9">
        <f>'Historical Financial Statement'!I11</f>
        <v>8674</v>
      </c>
      <c r="I9">
        <f>'Historical Financial Statement'!J11</f>
        <v>10562</v>
      </c>
      <c r="J9">
        <f>'Historical Financial Statement'!K11</f>
        <v>9815</v>
      </c>
      <c r="K9">
        <f>'Historical Financial Statement'!L11</f>
        <v>9964</v>
      </c>
      <c r="L9" s="2">
        <f>L4*$B$11</f>
        <v>11298.279379946312</v>
      </c>
      <c r="M9" s="2">
        <f>M4*C11</f>
        <v>11822.718262724042</v>
      </c>
      <c r="N9" s="2">
        <f>N4*D11</f>
        <v>12479.77871936257</v>
      </c>
      <c r="O9" s="2">
        <f>O4*E11</f>
        <v>13292.111654942117</v>
      </c>
      <c r="P9" s="2">
        <f>P4*F11</f>
        <v>13762.782354427713</v>
      </c>
    </row>
    <row r="10" spans="1:16" x14ac:dyDescent="0.45">
      <c r="A10" s="114" t="s">
        <v>219</v>
      </c>
      <c r="B10" s="184">
        <f>B9/B4</f>
        <v>0.20407651301348384</v>
      </c>
      <c r="C10" s="184">
        <f t="shared" ref="C10:K10" si="6">C9/C4</f>
        <v>0.20579290369297609</v>
      </c>
      <c r="D10" s="184">
        <f t="shared" si="6"/>
        <v>0.20000523231477604</v>
      </c>
      <c r="E10" s="184">
        <f t="shared" si="6"/>
        <v>0.19396673971896353</v>
      </c>
      <c r="F10" s="184">
        <f t="shared" si="6"/>
        <v>0.16921036611879295</v>
      </c>
      <c r="G10" s="184">
        <f t="shared" si="6"/>
        <v>0.15716992557576231</v>
      </c>
      <c r="H10" s="184">
        <f t="shared" si="6"/>
        <v>0.14665900175842012</v>
      </c>
      <c r="I10" s="184">
        <f t="shared" si="6"/>
        <v>0.17466801170847873</v>
      </c>
      <c r="J10" s="184">
        <f t="shared" si="6"/>
        <v>0.16447147932167036</v>
      </c>
      <c r="K10" s="184">
        <f t="shared" si="6"/>
        <v>0.16077450584913272</v>
      </c>
      <c r="L10" s="109">
        <f t="shared" ref="L10" si="7">L9/L4</f>
        <v>0.16215888172204287</v>
      </c>
      <c r="M10" s="109">
        <f t="shared" ref="M10" si="8">M9/M4</f>
        <v>0.1609836343225845</v>
      </c>
      <c r="N10" s="109">
        <f t="shared" ref="N10" si="9">N9/N4</f>
        <v>0.16161925244705488</v>
      </c>
      <c r="O10" s="109">
        <f t="shared" ref="O10" si="10">O9/O4</f>
        <v>0.16411262756182735</v>
      </c>
      <c r="P10" s="109">
        <f t="shared" ref="P10" si="11">P9/P4</f>
        <v>0.16235339687071879</v>
      </c>
    </row>
    <row r="11" spans="1:16" x14ac:dyDescent="0.45">
      <c r="A11" s="114" t="s">
        <v>220</v>
      </c>
      <c r="B11" s="184">
        <f>AVERAGE(F10:K10)</f>
        <v>0.16215888172204287</v>
      </c>
      <c r="C11" s="184">
        <f>AVERAGE(G10:L10)</f>
        <v>0.1609836343225845</v>
      </c>
      <c r="D11" s="184">
        <f>AVERAGE(H10:M10)</f>
        <v>0.16161925244705488</v>
      </c>
      <c r="E11" s="184">
        <f>AVERAGE(I10:N10)</f>
        <v>0.16411262756182735</v>
      </c>
      <c r="F11" s="184">
        <f>AVERAGE(J10:O10)</f>
        <v>0.16235339687071879</v>
      </c>
      <c r="G11" s="184"/>
      <c r="H11" s="184"/>
    </row>
    <row r="12" spans="1:16" x14ac:dyDescent="0.45">
      <c r="D12" s="105"/>
    </row>
    <row r="13" spans="1:16" x14ac:dyDescent="0.45">
      <c r="A13" s="114" t="str">
        <f>'Historical Financial Statement'!B12</f>
        <v>Other Expenses</v>
      </c>
      <c r="B13">
        <f>'Historical Financial Statement'!C12</f>
        <v>1366</v>
      </c>
      <c r="C13">
        <f>'Historical Financial Statement'!D12</f>
        <v>1394</v>
      </c>
      <c r="D13">
        <f>'Historical Financial Statement'!E12</f>
        <v>1466</v>
      </c>
      <c r="E13">
        <f>'Historical Financial Statement'!F12</f>
        <v>1591</v>
      </c>
      <c r="F13">
        <f>'Historical Financial Statement'!G12</f>
        <v>2116</v>
      </c>
      <c r="G13">
        <f>'Historical Financial Statement'!H12</f>
        <v>2260</v>
      </c>
      <c r="H13">
        <f>'Historical Financial Statement'!I12</f>
        <v>2154</v>
      </c>
      <c r="I13">
        <f>'Historical Financial Statement'!J12</f>
        <v>2668</v>
      </c>
      <c r="J13">
        <f>'Historical Financial Statement'!K12</f>
        <v>2786</v>
      </c>
      <c r="K13">
        <f>'Historical Financial Statement'!L12</f>
        <v>2773</v>
      </c>
      <c r="L13" s="2">
        <f>L4*B15</f>
        <v>2959.105515158767</v>
      </c>
      <c r="M13" s="2">
        <f>C15*M4</f>
        <v>3116.3915560472647</v>
      </c>
      <c r="N13" s="2">
        <f>D15*N4</f>
        <v>3292.5400485524151</v>
      </c>
      <c r="O13" s="2">
        <f>E15*O4</f>
        <v>3488.3010979318387</v>
      </c>
      <c r="P13" s="2">
        <f>P4*F15</f>
        <v>3668.3166010761602</v>
      </c>
    </row>
    <row r="14" spans="1:16" x14ac:dyDescent="0.45">
      <c r="B14" s="184">
        <f>B13/B4</f>
        <v>4.283474443399185E-2</v>
      </c>
      <c r="C14" s="184">
        <f t="shared" ref="C14:K14" si="12">C13/C4</f>
        <v>4.0376538740043447E-2</v>
      </c>
      <c r="D14" s="184">
        <f t="shared" si="12"/>
        <v>3.8352867308497282E-2</v>
      </c>
      <c r="E14" s="184">
        <f t="shared" si="12"/>
        <v>4.1021013278329251E-2</v>
      </c>
      <c r="F14" s="184">
        <f t="shared" si="12"/>
        <v>4.6004000347856337E-2</v>
      </c>
      <c r="G14" s="184">
        <f t="shared" si="12"/>
        <v>4.4146660676264333E-2</v>
      </c>
      <c r="H14" s="184">
        <f t="shared" si="12"/>
        <v>3.6419586094954687E-2</v>
      </c>
      <c r="I14" s="184">
        <f t="shared" si="12"/>
        <v>4.4121781408655678E-2</v>
      </c>
      <c r="J14" s="184">
        <f t="shared" si="12"/>
        <v>4.6685434680608623E-2</v>
      </c>
      <c r="K14" s="184">
        <f t="shared" si="12"/>
        <v>4.4743848325937877E-2</v>
      </c>
      <c r="L14" s="109">
        <f t="shared" ref="L14" si="13">L13/L4</f>
        <v>4.2470647529513947E-2</v>
      </c>
      <c r="M14" s="109">
        <f t="shared" ref="M14" si="14">M13/M4</f>
        <v>4.243423783906615E-2</v>
      </c>
      <c r="N14" s="109">
        <f t="shared" ref="N14" si="15">N13/N4</f>
        <v>4.2640007748968416E-2</v>
      </c>
      <c r="O14" s="109">
        <f t="shared" ref="O14" si="16">O13/O4</f>
        <v>4.3068721793015532E-2</v>
      </c>
      <c r="P14" s="109">
        <f t="shared" ref="P14" si="17">P13/P4</f>
        <v>4.3273492644484157E-2</v>
      </c>
    </row>
    <row r="15" spans="1:16" x14ac:dyDescent="0.45">
      <c r="B15" s="105">
        <f>AVERAGE(B14:K14)</f>
        <v>4.2470647529513947E-2</v>
      </c>
      <c r="C15" s="105">
        <f>AVERAGE(C14:L14)</f>
        <v>4.243423783906615E-2</v>
      </c>
      <c r="D15" s="105">
        <f>AVERAGE(D14:M14)</f>
        <v>4.2640007748968416E-2</v>
      </c>
      <c r="E15" s="105">
        <f>AVERAGE(E14:N14)</f>
        <v>4.3068721793015532E-2</v>
      </c>
      <c r="F15" s="105">
        <f>AVERAGE(F14:O14)</f>
        <v>4.3273492644484157E-2</v>
      </c>
    </row>
    <row r="16" spans="1:16" x14ac:dyDescent="0.45">
      <c r="B16" s="105"/>
      <c r="C16" s="105"/>
      <c r="D16" s="105"/>
      <c r="E16" s="105"/>
      <c r="F16" s="105"/>
    </row>
    <row r="17" spans="1:23" x14ac:dyDescent="0.45">
      <c r="A17" s="114" t="str">
        <f>'Historical Financial Statement'!B49</f>
        <v>Net Block</v>
      </c>
      <c r="B17">
        <f>'Historical Financial Statement'!C49</f>
        <v>4024</v>
      </c>
      <c r="C17">
        <f>'Historical Financial Statement'!D49</f>
        <v>4142</v>
      </c>
      <c r="D17">
        <f>'Historical Financial Statement'!E49</f>
        <v>4343</v>
      </c>
      <c r="E17">
        <f>'Historical Financial Statement'!F49</f>
        <v>5056</v>
      </c>
      <c r="F17">
        <f>'Historical Financial Statement'!G49</f>
        <v>51027</v>
      </c>
      <c r="G17">
        <f>'Historical Financial Statement'!H49</f>
        <v>51034</v>
      </c>
      <c r="H17">
        <f>'Historical Financial Statement'!I49</f>
        <v>51405</v>
      </c>
      <c r="I17">
        <f>'Historical Financial Statement'!J49</f>
        <v>52379</v>
      </c>
      <c r="J17">
        <f>'Historical Financial Statement'!K49</f>
        <v>52907</v>
      </c>
      <c r="K17">
        <f>'Historical Financial Statement'!L49</f>
        <v>52419</v>
      </c>
      <c r="L17" s="187">
        <f>R24</f>
        <v>53285.880127180768</v>
      </c>
      <c r="M17" s="187">
        <f>S24</f>
        <v>54205.436840854221</v>
      </c>
      <c r="N17" s="187">
        <f>T24</f>
        <v>55229.183544137362</v>
      </c>
      <c r="O17" s="187">
        <f>U24</f>
        <v>56404.476523809368</v>
      </c>
      <c r="P17" s="187">
        <f>V24</f>
        <v>57744.636687263148</v>
      </c>
    </row>
    <row r="18" spans="1:23" ht="14.65" thickBot="1" x14ac:dyDescent="0.5">
      <c r="A18" s="114" t="str">
        <f>'Historical Financial Statement'!B16</f>
        <v>Depreciation</v>
      </c>
      <c r="B18">
        <f>'Historical Financial Statement'!C16</f>
        <v>396</v>
      </c>
      <c r="C18">
        <f>'Historical Financial Statement'!D16</f>
        <v>478</v>
      </c>
      <c r="D18">
        <f>'Historical Financial Statement'!E16</f>
        <v>524</v>
      </c>
      <c r="E18">
        <f>'Historical Financial Statement'!F16</f>
        <v>938</v>
      </c>
      <c r="F18">
        <f>'Historical Financial Statement'!G16</f>
        <v>1012</v>
      </c>
      <c r="G18">
        <f>'Historical Financial Statement'!H16</f>
        <v>1025</v>
      </c>
      <c r="H18">
        <f>'Historical Financial Statement'!I16</f>
        <v>1030</v>
      </c>
      <c r="I18">
        <f>'Historical Financial Statement'!J16</f>
        <v>1097</v>
      </c>
      <c r="J18">
        <f>'Historical Financial Statement'!K16</f>
        <v>1122</v>
      </c>
      <c r="K18">
        <f>'Historical Financial Statement'!L16</f>
        <v>1186</v>
      </c>
      <c r="L18" s="2">
        <f>K17*B20</f>
        <v>1089.70507711338</v>
      </c>
      <c r="M18" s="2">
        <f>L17*C20</f>
        <v>1113.2103481936413</v>
      </c>
      <c r="N18" s="2">
        <f>D20*M17</f>
        <v>1136.5065919769022</v>
      </c>
      <c r="O18" s="2">
        <f t="shared" ref="O18:P18" si="18">E20*N17</f>
        <v>1162.9513963260688</v>
      </c>
      <c r="P18" s="2">
        <f t="shared" si="18"/>
        <v>1184.6399708059155</v>
      </c>
    </row>
    <row r="19" spans="1:23" x14ac:dyDescent="0.45">
      <c r="B19" s="184">
        <f>B18/B17</f>
        <v>9.8409542743538761E-2</v>
      </c>
      <c r="C19" s="184">
        <f t="shared" ref="C19:K19" si="19">C18/C17</f>
        <v>0.11540318686624819</v>
      </c>
      <c r="D19" s="184">
        <f t="shared" si="19"/>
        <v>0.12065392585770204</v>
      </c>
      <c r="E19" s="184">
        <f t="shared" si="19"/>
        <v>0.18552215189873417</v>
      </c>
      <c r="F19" s="184">
        <f t="shared" si="19"/>
        <v>1.9832637623219081E-2</v>
      </c>
      <c r="G19" s="184">
        <f t="shared" si="19"/>
        <v>2.0084649449386684E-2</v>
      </c>
      <c r="H19" s="184">
        <f t="shared" si="19"/>
        <v>2.0036961385079273E-2</v>
      </c>
      <c r="I19" s="184">
        <f t="shared" si="19"/>
        <v>2.0943507894385153E-2</v>
      </c>
      <c r="J19" s="184">
        <f t="shared" si="19"/>
        <v>2.1207023645264333E-2</v>
      </c>
      <c r="K19" s="184">
        <f t="shared" si="19"/>
        <v>2.2625383925675806E-2</v>
      </c>
      <c r="L19" s="109">
        <f>L18/L17</f>
        <v>2.0450165682025186E-2</v>
      </c>
      <c r="M19" s="109">
        <f>M18/M17</f>
        <v>2.0536876244757484E-2</v>
      </c>
      <c r="N19" s="109">
        <f t="shared" ref="N19:P19" si="20">N18/N17</f>
        <v>2.0578008202287532E-2</v>
      </c>
      <c r="O19" s="109">
        <f t="shared" si="20"/>
        <v>2.0618069132069077E-2</v>
      </c>
      <c r="P19" s="109">
        <f t="shared" si="20"/>
        <v>2.0515151514793648E-2</v>
      </c>
      <c r="R19" s="222" t="s">
        <v>233</v>
      </c>
      <c r="S19" s="223"/>
      <c r="T19" s="223"/>
      <c r="U19" s="223"/>
      <c r="V19" s="223"/>
      <c r="W19" s="191"/>
    </row>
    <row r="20" spans="1:23" x14ac:dyDescent="0.45">
      <c r="B20" s="105">
        <f>AVERAGE(F19:K19)</f>
        <v>2.0788360653835058E-2</v>
      </c>
      <c r="C20" s="105">
        <f>AVERAGE(G19:L19)</f>
        <v>2.0891281996969404E-2</v>
      </c>
      <c r="D20" s="105">
        <f>AVERAGE(H19:M19)</f>
        <v>2.0966653129531203E-2</v>
      </c>
      <c r="E20" s="105">
        <f t="shared" ref="E20:F20" si="21">AVERAGE(I19:N19)</f>
        <v>2.1056827599065919E-2</v>
      </c>
      <c r="F20" s="105">
        <f t="shared" si="21"/>
        <v>2.100258780534657E-2</v>
      </c>
      <c r="G20" s="105"/>
      <c r="R20" s="192">
        <f>L3</f>
        <v>46477</v>
      </c>
      <c r="S20" s="193">
        <f>M3</f>
        <v>46842</v>
      </c>
      <c r="T20" s="193">
        <f>N3</f>
        <v>47207</v>
      </c>
      <c r="U20" s="193">
        <f>O3</f>
        <v>47572</v>
      </c>
      <c r="V20" s="193">
        <f>P3</f>
        <v>47937</v>
      </c>
      <c r="W20" s="194"/>
    </row>
    <row r="21" spans="1:23" x14ac:dyDescent="0.45">
      <c r="R21" s="195">
        <f>L4*B24</f>
        <v>1956.5852042941485</v>
      </c>
      <c r="S21" s="110">
        <f>M4*C24</f>
        <v>2032.7670618670995</v>
      </c>
      <c r="T21" s="110">
        <f>N4*D24</f>
        <v>2160.2532952600482</v>
      </c>
      <c r="U21" s="110">
        <f>O4*E24</f>
        <v>2338.2443759980706</v>
      </c>
      <c r="V21" s="110">
        <f>P4*F24</f>
        <v>2524.800134259699</v>
      </c>
      <c r="W21" s="194"/>
    </row>
    <row r="22" spans="1:23" x14ac:dyDescent="0.45">
      <c r="A22" s="114" t="s">
        <v>225</v>
      </c>
      <c r="B22">
        <f>-'Manual Data'!C15</f>
        <v>1024</v>
      </c>
      <c r="C22">
        <f>-'Manual Data'!D15</f>
        <v>853</v>
      </c>
      <c r="D22">
        <f>-'Manual Data'!E15</f>
        <v>728</v>
      </c>
      <c r="E22">
        <f>-'Manual Data'!F15</f>
        <v>765</v>
      </c>
      <c r="F22">
        <f>-'Manual Data'!G15</f>
        <v>4051</v>
      </c>
      <c r="G22">
        <f>-'Manual Data'!H15</f>
        <v>919</v>
      </c>
      <c r="H22">
        <f>-'Manual Data'!I15</f>
        <v>1041</v>
      </c>
      <c r="I22">
        <f>-'Manual Data'!J15</f>
        <v>1318</v>
      </c>
      <c r="J22">
        <f>-'Manual Data'!K15</f>
        <v>1149</v>
      </c>
      <c r="K22">
        <f>-'Manual Data'!L15</f>
        <v>1274</v>
      </c>
      <c r="L22" s="2">
        <f>R21</f>
        <v>1956.5852042941485</v>
      </c>
      <c r="M22" s="2">
        <f>S21</f>
        <v>2032.7670618670995</v>
      </c>
      <c r="N22" s="2">
        <f>T21</f>
        <v>2160.2532952600482</v>
      </c>
      <c r="O22" s="2">
        <f>U21</f>
        <v>2338.2443759980706</v>
      </c>
      <c r="P22" s="2">
        <f>V21</f>
        <v>2524.800134259699</v>
      </c>
      <c r="R22" s="196">
        <f>K17</f>
        <v>52419</v>
      </c>
      <c r="S22" s="187">
        <f>L17</f>
        <v>53285.880127180768</v>
      </c>
      <c r="T22" s="187">
        <f>M17</f>
        <v>54205.436840854221</v>
      </c>
      <c r="U22" s="187">
        <f>N17</f>
        <v>55229.183544137362</v>
      </c>
      <c r="V22" s="187">
        <f>O17</f>
        <v>56404.476523809368</v>
      </c>
      <c r="W22" s="197" t="s">
        <v>221</v>
      </c>
    </row>
    <row r="23" spans="1:23" x14ac:dyDescent="0.45">
      <c r="B23" s="184">
        <f>B22/B4</f>
        <v>3.2110379429288176E-2</v>
      </c>
      <c r="C23" s="184">
        <f t="shared" ref="C23:K23" si="22">C22/C4</f>
        <v>2.4706734250543084E-2</v>
      </c>
      <c r="D23" s="184">
        <f t="shared" si="22"/>
        <v>1.9045625784847215E-2</v>
      </c>
      <c r="E23" s="184">
        <f t="shared" si="22"/>
        <v>1.9724120149542348E-2</v>
      </c>
      <c r="F23" s="184">
        <f t="shared" si="22"/>
        <v>8.8072875902252365E-2</v>
      </c>
      <c r="G23" s="184">
        <f t="shared" si="22"/>
        <v>1.7951673080303949E-2</v>
      </c>
      <c r="H23" s="184">
        <f t="shared" si="22"/>
        <v>1.760110915731097E-2</v>
      </c>
      <c r="I23" s="184">
        <f t="shared" si="22"/>
        <v>2.1796292315070531E-2</v>
      </c>
      <c r="J23" s="184">
        <f t="shared" si="22"/>
        <v>1.9253971445807361E-2</v>
      </c>
      <c r="K23" s="184">
        <f t="shared" si="22"/>
        <v>2.055667607906414E-2</v>
      </c>
      <c r="L23" s="109">
        <f>L22/L4</f>
        <v>2.8081945759403017E-2</v>
      </c>
      <c r="M23" s="109">
        <f t="shared" ref="M23" si="23">M22/M4</f>
        <v>2.7679102392414501E-2</v>
      </c>
      <c r="N23" s="109">
        <f t="shared" ref="N23" si="24">N22/N4</f>
        <v>2.7976339206601645E-2</v>
      </c>
      <c r="O23" s="109">
        <f t="shared" ref="O23" si="25">O22/O4</f>
        <v>2.8869410548777081E-2</v>
      </c>
      <c r="P23" s="109">
        <f t="shared" ref="P23" si="26">P22/P4</f>
        <v>2.9783939588700552E-2</v>
      </c>
      <c r="R23" s="198">
        <f>-L18</f>
        <v>-1089.70507711338</v>
      </c>
      <c r="S23">
        <f>-M18</f>
        <v>-1113.2103481936413</v>
      </c>
      <c r="T23">
        <f>-N18</f>
        <v>-1136.5065919769022</v>
      </c>
      <c r="U23">
        <f>-O18</f>
        <v>-1162.9513963260688</v>
      </c>
      <c r="V23">
        <f>-P18</f>
        <v>-1184.6399708059155</v>
      </c>
      <c r="W23" s="194"/>
    </row>
    <row r="24" spans="1:23" ht="14.65" thickBot="1" x14ac:dyDescent="0.5">
      <c r="B24" s="184">
        <f>AVERAGE(B23:K23)</f>
        <v>2.8081945759403017E-2</v>
      </c>
      <c r="C24" s="184">
        <f>AVERAGE(C23:L23)</f>
        <v>2.7679102392414501E-2</v>
      </c>
      <c r="D24" s="184">
        <f>AVERAGE(D23:M23)</f>
        <v>2.7976339206601641E-2</v>
      </c>
      <c r="E24" s="184">
        <f>AVERAGE(E23:N23)</f>
        <v>2.8869410548777081E-2</v>
      </c>
      <c r="F24" s="184">
        <f>AVERAGE(F23:O23)</f>
        <v>2.9783939588700552E-2</v>
      </c>
      <c r="G24" s="184"/>
      <c r="H24" s="184"/>
      <c r="I24" s="184"/>
      <c r="J24" s="184"/>
      <c r="K24" s="184"/>
      <c r="L24" s="109"/>
      <c r="M24" s="109"/>
      <c r="N24" s="109"/>
      <c r="O24" s="109"/>
      <c r="P24" s="109"/>
      <c r="R24" s="199">
        <f>SUM(R21:R23)</f>
        <v>53285.880127180768</v>
      </c>
      <c r="S24" s="200">
        <f>SUM(S21:S23)</f>
        <v>54205.436840854221</v>
      </c>
      <c r="T24" s="200">
        <f>SUM(T21:T23)</f>
        <v>55229.183544137362</v>
      </c>
      <c r="U24" s="200">
        <f>SUM(U21:U23)</f>
        <v>56404.476523809368</v>
      </c>
      <c r="V24" s="200">
        <f>SUM(V21:V23)</f>
        <v>57744.636687263148</v>
      </c>
      <c r="W24" s="201" t="s">
        <v>222</v>
      </c>
    </row>
    <row r="25" spans="1:23" x14ac:dyDescent="0.45">
      <c r="R25" s="222" t="s">
        <v>226</v>
      </c>
      <c r="S25" s="223"/>
      <c r="T25" s="223"/>
      <c r="U25" s="223"/>
      <c r="V25" s="224"/>
    </row>
    <row r="26" spans="1:23" x14ac:dyDescent="0.45">
      <c r="R26" s="192">
        <f>R20</f>
        <v>46477</v>
      </c>
      <c r="S26" s="193">
        <f>S20</f>
        <v>46842</v>
      </c>
      <c r="T26" s="193">
        <f>T20</f>
        <v>47207</v>
      </c>
      <c r="U26" s="193">
        <f>U20</f>
        <v>47572</v>
      </c>
      <c r="V26" s="202">
        <f>V20</f>
        <v>47937</v>
      </c>
    </row>
    <row r="27" spans="1:23" x14ac:dyDescent="0.45">
      <c r="A27" s="114" t="s">
        <v>223</v>
      </c>
      <c r="F27">
        <f>'Historical Financial Statement'!G20</f>
        <v>108</v>
      </c>
      <c r="G27">
        <f>'Historical Financial Statement'!H20</f>
        <v>98</v>
      </c>
      <c r="H27">
        <f>'Historical Financial Statement'!I20</f>
        <v>101</v>
      </c>
      <c r="I27">
        <f>'Historical Financial Statement'!J20</f>
        <v>302</v>
      </c>
      <c r="J27">
        <f>'Historical Financial Statement'!K20</f>
        <v>350</v>
      </c>
      <c r="K27">
        <f>'Historical Financial Statement'!L20</f>
        <v>363</v>
      </c>
      <c r="L27" s="187">
        <f>R31</f>
        <v>228.3722843406143</v>
      </c>
      <c r="M27" s="187">
        <f>S31</f>
        <v>241.14270924927447</v>
      </c>
      <c r="N27" s="187">
        <f>T31</f>
        <v>259.04514156665272</v>
      </c>
      <c r="O27" s="187">
        <f>U31</f>
        <v>280.75237642192252</v>
      </c>
      <c r="P27" s="187">
        <f>V31</f>
        <v>279.0061082515831</v>
      </c>
      <c r="Q27" s="185"/>
      <c r="R27" s="196">
        <f>'Historical Financial Statement'!L41</f>
        <v>1325</v>
      </c>
      <c r="S27" s="2">
        <f>R30</f>
        <v>1325</v>
      </c>
      <c r="T27" s="2">
        <f t="shared" ref="T27:V27" si="27">S30</f>
        <v>1325</v>
      </c>
      <c r="U27" s="2">
        <f t="shared" si="27"/>
        <v>1325</v>
      </c>
      <c r="V27" s="197">
        <f t="shared" si="27"/>
        <v>1325</v>
      </c>
    </row>
    <row r="28" spans="1:23" x14ac:dyDescent="0.45">
      <c r="A28" s="114" t="s">
        <v>224</v>
      </c>
      <c r="F28" s="184">
        <f>F27/'Historical Financial Statement'!G41</f>
        <v>0.11452810180275716</v>
      </c>
      <c r="G28" s="184">
        <f>G27/'Historical Financial Statement'!H41</f>
        <v>0.10092687950566426</v>
      </c>
      <c r="H28" s="184">
        <f>H27/'Historical Financial Statement'!I41</f>
        <v>9.7208854667949957E-2</v>
      </c>
      <c r="I28" s="184">
        <f>I27/'Historical Financial Statement'!J41</f>
        <v>0.2197962154294032</v>
      </c>
      <c r="J28" s="184">
        <f>J27/'Historical Financial Statement'!K41</f>
        <v>0.22771633051398829</v>
      </c>
      <c r="K28" s="184">
        <f>K27/'Historical Financial Statement'!L41</f>
        <v>0.27396226415094338</v>
      </c>
      <c r="L28" s="109">
        <f>L27/R30</f>
        <v>0.17235644101178438</v>
      </c>
      <c r="M28" s="109">
        <f>M27/S30</f>
        <v>0.18199449754662225</v>
      </c>
      <c r="N28" s="109">
        <f>N27/T30</f>
        <v>0.19550576722011526</v>
      </c>
      <c r="O28" s="109">
        <f>O27/U30</f>
        <v>0.21188858597880944</v>
      </c>
      <c r="P28" s="109">
        <f>P27/V30</f>
        <v>0.21057064773704384</v>
      </c>
      <c r="R28" s="203">
        <f>'Historical Financial Statement'!$L$95</f>
        <v>-464</v>
      </c>
      <c r="S28">
        <f>'Historical Financial Statement'!$L$95</f>
        <v>-464</v>
      </c>
      <c r="T28">
        <f>'Historical Financial Statement'!$L$95</f>
        <v>-464</v>
      </c>
      <c r="U28">
        <f>'Historical Financial Statement'!$L$95</f>
        <v>-464</v>
      </c>
      <c r="V28" s="194">
        <f>'Historical Financial Statement'!$L$95</f>
        <v>-464</v>
      </c>
    </row>
    <row r="29" spans="1:23" x14ac:dyDescent="0.45">
      <c r="F29" s="105">
        <f>AVERAGE(F28:K28)</f>
        <v>0.17235644101178438</v>
      </c>
      <c r="G29" s="105">
        <f>AVERAGE(G28:L28)</f>
        <v>0.18199449754662225</v>
      </c>
      <c r="H29" s="105">
        <f>AVERAGE(H28:M28)</f>
        <v>0.19550576722011526</v>
      </c>
      <c r="I29" s="105">
        <f>AVERAGE(I28:N28)</f>
        <v>0.21188858597880947</v>
      </c>
      <c r="J29" s="105">
        <f>AVERAGE(J28:O28)</f>
        <v>0.21057064773704384</v>
      </c>
      <c r="K29" s="105"/>
      <c r="R29" s="204">
        <f>-R28</f>
        <v>464</v>
      </c>
      <c r="S29" s="205">
        <f t="shared" ref="S29:V29" si="28">-S28</f>
        <v>464</v>
      </c>
      <c r="T29" s="205">
        <f t="shared" si="28"/>
        <v>464</v>
      </c>
      <c r="U29" s="205">
        <f t="shared" si="28"/>
        <v>464</v>
      </c>
      <c r="V29" s="206">
        <f t="shared" si="28"/>
        <v>464</v>
      </c>
    </row>
    <row r="30" spans="1:23" x14ac:dyDescent="0.45">
      <c r="R30" s="196">
        <f>SUM(R27:R29)</f>
        <v>1325</v>
      </c>
      <c r="S30" s="2">
        <f t="shared" ref="S30:V30" si="29">SUM(S27:S29)</f>
        <v>1325</v>
      </c>
      <c r="T30" s="2">
        <f t="shared" si="29"/>
        <v>1325</v>
      </c>
      <c r="U30" s="2">
        <f t="shared" si="29"/>
        <v>1325</v>
      </c>
      <c r="V30" s="197">
        <f t="shared" si="29"/>
        <v>1325</v>
      </c>
    </row>
    <row r="31" spans="1:23" ht="14.65" thickBot="1" x14ac:dyDescent="0.5">
      <c r="A31" s="114" t="str">
        <f>'Historical Financial Statement'!B21</f>
        <v>Other Income</v>
      </c>
      <c r="B31" s="114">
        <f>'Historical Financial Statement'!C21</f>
        <v>767</v>
      </c>
      <c r="C31" s="114">
        <f>'Historical Financial Statement'!D21</f>
        <v>507</v>
      </c>
      <c r="D31" s="114">
        <f>'Historical Financial Statement'!E21</f>
        <v>437</v>
      </c>
      <c r="E31" s="114">
        <f>'Historical Financial Statement'!F21</f>
        <v>536</v>
      </c>
      <c r="F31" s="114">
        <f>'Historical Financial Statement'!G21</f>
        <v>286</v>
      </c>
      <c r="G31" s="114">
        <f>'Historical Financial Statement'!H21</f>
        <v>359</v>
      </c>
      <c r="H31" s="114">
        <f>'Historical Financial Statement'!I21</f>
        <v>578</v>
      </c>
      <c r="I31" s="114">
        <f>'Historical Financial Statement'!J21</f>
        <v>884</v>
      </c>
      <c r="J31" s="114">
        <f>'Historical Financial Statement'!K21</f>
        <v>1632</v>
      </c>
      <c r="K31" s="114">
        <f>'Historical Financial Statement'!L21</f>
        <v>5572</v>
      </c>
      <c r="L31" s="189">
        <f>L4*B33</f>
        <v>1798.4905579726733</v>
      </c>
      <c r="M31" s="189">
        <f>M4*C33</f>
        <v>2135.555215900366</v>
      </c>
      <c r="N31" s="189">
        <f>N4*D33</f>
        <v>2529.3549390534149</v>
      </c>
      <c r="O31" s="189">
        <f>O4*E33</f>
        <v>2963.3208552179121</v>
      </c>
      <c r="P31" s="189">
        <f>P4*F33</f>
        <v>3411.8705298866935</v>
      </c>
      <c r="R31" s="207">
        <f>AVERAGE(R27,R30)*F29</f>
        <v>228.3722843406143</v>
      </c>
      <c r="S31" s="208">
        <f>AVERAGE(S27,S30)*G29</f>
        <v>241.14270924927447</v>
      </c>
      <c r="T31" s="208">
        <f>AVERAGE(T27,T30)*H29</f>
        <v>259.04514156665272</v>
      </c>
      <c r="U31" s="208">
        <f>AVERAGE(U27,U30)*I29</f>
        <v>280.75237642192252</v>
      </c>
      <c r="V31" s="209">
        <f>AVERAGE(V27,V30)*J29</f>
        <v>279.0061082515831</v>
      </c>
    </row>
    <row r="32" spans="1:23" x14ac:dyDescent="0.45">
      <c r="B32" s="184">
        <f>B31/B4</f>
        <v>2.405142677955472E-2</v>
      </c>
      <c r="C32" s="184">
        <f t="shared" ref="C32:K32" si="30">C31/C4</f>
        <v>1.4685010861694424E-2</v>
      </c>
      <c r="D32" s="184">
        <f t="shared" si="30"/>
        <v>1.1432607785684386E-2</v>
      </c>
      <c r="E32" s="184">
        <f t="shared" si="30"/>
        <v>1.3819775686476731E-2</v>
      </c>
      <c r="F32" s="184">
        <f t="shared" si="30"/>
        <v>6.217931994086442E-3</v>
      </c>
      <c r="G32" s="184">
        <f t="shared" si="30"/>
        <v>7.0126775145039361E-3</v>
      </c>
      <c r="H32" s="184">
        <f t="shared" si="30"/>
        <v>9.772758014337888E-3</v>
      </c>
      <c r="I32" s="184">
        <f t="shared" si="30"/>
        <v>1.4619061006466124E-2</v>
      </c>
      <c r="J32" s="184">
        <f t="shared" si="30"/>
        <v>2.7347677458274683E-2</v>
      </c>
      <c r="K32" s="184">
        <f t="shared" si="30"/>
        <v>8.9907220653489314E-2</v>
      </c>
      <c r="L32" s="109">
        <f t="shared" ref="L32" si="31">L31/L4</f>
        <v>2.5812887773526399E-2</v>
      </c>
      <c r="M32" s="109">
        <f t="shared" ref="M32" si="32">M31/M4</f>
        <v>2.9078713736766394E-2</v>
      </c>
      <c r="N32" s="109">
        <f t="shared" ref="N32" si="33">N31/N4</f>
        <v>3.2756386440476799E-2</v>
      </c>
      <c r="O32" s="109">
        <f t="shared" ref="O32" si="34">O31/O4</f>
        <v>3.658699117816662E-2</v>
      </c>
      <c r="P32" s="109">
        <f t="shared" ref="P32" si="35">P31/P4</f>
        <v>4.0248312873450036E-2</v>
      </c>
    </row>
    <row r="33" spans="1:22" x14ac:dyDescent="0.45">
      <c r="B33" s="184">
        <f>AVERAGE(F32:K32)</f>
        <v>2.5812887773526399E-2</v>
      </c>
      <c r="C33" s="184">
        <f>AVERAGE(G32:L32)</f>
        <v>2.907871373676639E-2</v>
      </c>
      <c r="D33" s="184">
        <f>AVERAGE(H32:M32)</f>
        <v>3.2756386440476799E-2</v>
      </c>
      <c r="E33" s="184">
        <f>AVERAGE(I32:N32)</f>
        <v>3.658699117816662E-2</v>
      </c>
      <c r="F33" s="184">
        <f>AVERAGE(J32:O32)</f>
        <v>4.0248312873450036E-2</v>
      </c>
      <c r="G33" s="184"/>
      <c r="H33" s="184"/>
      <c r="I33" s="184"/>
      <c r="J33" s="184"/>
      <c r="K33" s="184"/>
    </row>
    <row r="36" spans="1:22" x14ac:dyDescent="0.45">
      <c r="A36" s="114" t="str">
        <f>'Historical Financial Statement'!B17</f>
        <v>EBIT</v>
      </c>
      <c r="B36" s="114">
        <f>'Historical Financial Statement'!C17</f>
        <v>5651</v>
      </c>
      <c r="C36" s="114">
        <f>'Historical Financial Statement'!D17</f>
        <v>6798</v>
      </c>
      <c r="D36" s="114">
        <f>'Historical Financial Statement'!E17</f>
        <v>8113</v>
      </c>
      <c r="E36" s="114">
        <f>'Historical Financial Statement'!F17</f>
        <v>8662</v>
      </c>
      <c r="F36" s="114">
        <f>'Historical Financial Statement'!G17</f>
        <v>10312</v>
      </c>
      <c r="G36" s="114">
        <f>'Historical Financial Statement'!H17</f>
        <v>11478</v>
      </c>
      <c r="H36" s="114">
        <f>'Historical Financial Statement'!I17</f>
        <v>12602</v>
      </c>
      <c r="I36" s="114">
        <f>'Historical Financial Statement'!J17</f>
        <v>13093</v>
      </c>
      <c r="J36" s="114">
        <f>'Historical Financial Statement'!K17</f>
        <v>13022</v>
      </c>
      <c r="K36" s="114">
        <f>'Historical Financial Statement'!L17</f>
        <v>13278</v>
      </c>
      <c r="L36" s="189">
        <f>'Historical Financial Statement'!M17</f>
        <v>16015.487501657579</v>
      </c>
      <c r="M36" s="189">
        <f>'Historical Financial Statement'!N17</f>
        <v>17105.502675785319</v>
      </c>
      <c r="N36" s="189">
        <f>'Historical Financial Statement'!O17</f>
        <v>17912.254510547842</v>
      </c>
      <c r="O36" s="189">
        <f>'Historical Financial Statement'!P17</f>
        <v>18472.558984101619</v>
      </c>
      <c r="P36" s="189">
        <f>'Historical Financial Statement'!Q17</f>
        <v>19219.400010032186</v>
      </c>
    </row>
    <row r="37" spans="1:22" x14ac:dyDescent="0.45">
      <c r="A37" s="114" t="str">
        <f>'Historical Financial Statement'!B25</f>
        <v>Tax</v>
      </c>
      <c r="B37" s="114">
        <f>'Historical Financial Statement'!C25</f>
        <v>1906</v>
      </c>
      <c r="C37" s="114">
        <f>'Historical Financial Statement'!D25</f>
        <v>2048</v>
      </c>
      <c r="D37" s="114">
        <f>'Historical Financial Statement'!E25</f>
        <v>2486</v>
      </c>
      <c r="E37" s="114">
        <f>'Historical Financial Statement'!F25</f>
        <v>2354</v>
      </c>
      <c r="F37" s="114">
        <f>'Historical Financial Statement'!G25</f>
        <v>2536</v>
      </c>
      <c r="G37" s="114">
        <f>'Historical Financial Statement'!H25</f>
        <v>2921</v>
      </c>
      <c r="H37" s="114">
        <f>'Historical Financial Statement'!I25</f>
        <v>3117</v>
      </c>
      <c r="I37" s="114">
        <f>'Historical Financial Statement'!J25</f>
        <v>3561</v>
      </c>
      <c r="J37" s="114">
        <f>'Historical Financial Statement'!K25</f>
        <v>3660</v>
      </c>
      <c r="K37" s="114">
        <f>'Historical Financial Statement'!L25</f>
        <v>3060</v>
      </c>
      <c r="L37" s="2">
        <f>B39*L36</f>
        <v>4401.0339264715303</v>
      </c>
      <c r="M37" s="2">
        <f>C39*M36</f>
        <v>4593.6817628293038</v>
      </c>
      <c r="N37" s="2">
        <f>N36*D39</f>
        <v>4751.7347388158569</v>
      </c>
      <c r="O37" s="2">
        <f>E39*O36</f>
        <v>4824.3691093211119</v>
      </c>
      <c r="P37" s="2">
        <f>F39*P36</f>
        <v>4999.0491689071196</v>
      </c>
    </row>
    <row r="38" spans="1:22" ht="14.65" thickBot="1" x14ac:dyDescent="0.5">
      <c r="B38" s="184">
        <f>B37/B36</f>
        <v>0.33728543620598123</v>
      </c>
      <c r="C38" s="184">
        <f t="shared" ref="C38:P38" si="36">C37/C36</f>
        <v>0.30126507796410706</v>
      </c>
      <c r="D38" s="184">
        <f t="shared" si="36"/>
        <v>0.30642179218538151</v>
      </c>
      <c r="E38" s="184">
        <f t="shared" si="36"/>
        <v>0.27176171784807202</v>
      </c>
      <c r="F38" s="184">
        <f t="shared" si="36"/>
        <v>0.24592707525213345</v>
      </c>
      <c r="G38" s="184">
        <f t="shared" si="36"/>
        <v>0.25448684439797875</v>
      </c>
      <c r="H38" s="184">
        <f t="shared" si="36"/>
        <v>0.24734169179495319</v>
      </c>
      <c r="I38" s="184">
        <f t="shared" si="36"/>
        <v>0.27197739249980907</v>
      </c>
      <c r="J38" s="184">
        <f t="shared" si="36"/>
        <v>0.28106281677161726</v>
      </c>
      <c r="K38" s="184">
        <f t="shared" si="36"/>
        <v>0.23045639403524626</v>
      </c>
      <c r="L38" s="109">
        <f t="shared" si="36"/>
        <v>0.274798623895528</v>
      </c>
      <c r="M38" s="109">
        <f t="shared" si="36"/>
        <v>0.26854994266448273</v>
      </c>
      <c r="N38" s="109">
        <f t="shared" si="36"/>
        <v>0.26527842913452027</v>
      </c>
      <c r="O38" s="109">
        <f t="shared" si="36"/>
        <v>0.26116409282943409</v>
      </c>
      <c r="P38" s="109">
        <f t="shared" si="36"/>
        <v>0.2601043303275703</v>
      </c>
      <c r="Q38" s="184"/>
    </row>
    <row r="39" spans="1:22" x14ac:dyDescent="0.45">
      <c r="B39" s="184">
        <f>AVERAGE(B38:K38)</f>
        <v>0.274798623895528</v>
      </c>
      <c r="C39" s="184">
        <f>AVERAGE(C38:L38)</f>
        <v>0.26854994266448273</v>
      </c>
      <c r="D39" s="184">
        <f>AVERAGE(D38:M38)</f>
        <v>0.26527842913452027</v>
      </c>
      <c r="E39" s="184">
        <f>AVERAGE(E38:N38)</f>
        <v>0.26116409282943409</v>
      </c>
      <c r="F39" s="184">
        <f>AVERAGE(F38:O38)</f>
        <v>0.2601043303275703</v>
      </c>
      <c r="G39" s="184"/>
      <c r="H39" s="184"/>
      <c r="I39" s="184"/>
      <c r="J39" s="184"/>
      <c r="K39" s="184"/>
      <c r="L39" s="109"/>
      <c r="M39" s="109"/>
      <c r="N39" s="109"/>
      <c r="O39" s="109"/>
      <c r="P39" s="109"/>
      <c r="Q39" s="184"/>
      <c r="R39" s="222" t="s">
        <v>228</v>
      </c>
      <c r="S39" s="223"/>
      <c r="T39" s="223"/>
      <c r="U39" s="223"/>
      <c r="V39" s="224"/>
    </row>
    <row r="40" spans="1:22" x14ac:dyDescent="0.45">
      <c r="R40" s="192">
        <f>R26</f>
        <v>46477</v>
      </c>
      <c r="S40" s="193">
        <f t="shared" ref="S40:V40" si="37">S26</f>
        <v>46842</v>
      </c>
      <c r="T40" s="193">
        <f t="shared" si="37"/>
        <v>47207</v>
      </c>
      <c r="U40" s="193">
        <f t="shared" si="37"/>
        <v>47572</v>
      </c>
      <c r="V40" s="202">
        <f t="shared" si="37"/>
        <v>47937</v>
      </c>
    </row>
    <row r="41" spans="1:22" x14ac:dyDescent="0.45">
      <c r="A41" s="114" t="str">
        <f>'Historical Financial Statement'!B31</f>
        <v>Equity Share Capital</v>
      </c>
      <c r="B41" s="114">
        <f>'Historical Financial Statement'!C31</f>
        <v>216</v>
      </c>
      <c r="C41" s="114">
        <f>'Historical Financial Statement'!D31</f>
        <v>216</v>
      </c>
      <c r="D41" s="114">
        <f>'Historical Financial Statement'!E31</f>
        <v>216</v>
      </c>
      <c r="E41" s="114">
        <f>'Historical Financial Statement'!F31</f>
        <v>216</v>
      </c>
      <c r="F41" s="114">
        <f>'Historical Financial Statement'!G31</f>
        <v>235</v>
      </c>
      <c r="G41" s="114">
        <f>'Historical Financial Statement'!H31</f>
        <v>235</v>
      </c>
      <c r="H41" s="114">
        <f>'Historical Financial Statement'!I31</f>
        <v>235</v>
      </c>
      <c r="I41" s="114">
        <f>'Historical Financial Statement'!J31</f>
        <v>235</v>
      </c>
      <c r="J41" s="114">
        <f>'Historical Financial Statement'!K31</f>
        <v>235</v>
      </c>
      <c r="K41" s="114">
        <f>'Historical Financial Statement'!L31</f>
        <v>235</v>
      </c>
      <c r="R41" s="196">
        <f>'Historical Financial Statement'!L32</f>
        <v>48988</v>
      </c>
      <c r="S41" s="2">
        <f>R44</f>
        <v>50800.956098520212</v>
      </c>
      <c r="T41" s="2">
        <f t="shared" ref="T41:V41" si="38">S44</f>
        <v>52681.920949845517</v>
      </c>
      <c r="U41" s="2">
        <f t="shared" si="38"/>
        <v>54503.011612302646</v>
      </c>
      <c r="V41" s="197">
        <f t="shared" si="38"/>
        <v>56219.909917769677</v>
      </c>
    </row>
    <row r="42" spans="1:22" x14ac:dyDescent="0.45">
      <c r="A42" s="114" t="str">
        <f>'Historical Financial Statement'!B94</f>
        <v>Dividends paid</v>
      </c>
      <c r="B42" s="114">
        <f>'Historical Financial Statement'!C94</f>
        <v>-3561</v>
      </c>
      <c r="C42" s="114">
        <f>'Historical Financial Statement'!D94</f>
        <v>-3896</v>
      </c>
      <c r="D42" s="114">
        <f>'Historical Financial Statement'!E94</f>
        <v>-4546</v>
      </c>
      <c r="E42" s="114">
        <f>'Historical Financial Statement'!F94</f>
        <v>-5196</v>
      </c>
      <c r="F42" s="114">
        <f>'Historical Financial Statement'!G94</f>
        <v>-8811</v>
      </c>
      <c r="G42" s="114">
        <f>'Historical Financial Statement'!H94</f>
        <v>-7519</v>
      </c>
      <c r="H42" s="114">
        <f>'Historical Financial Statement'!I94</f>
        <v>-8459</v>
      </c>
      <c r="I42" s="114">
        <f>'Historical Financial Statement'!J94</f>
        <v>-9398</v>
      </c>
      <c r="J42" s="114">
        <f>'Historical Financial Statement'!K94</f>
        <v>-12453</v>
      </c>
      <c r="K42" s="114">
        <f>'Historical Financial Statement'!L94</f>
        <v>-10103</v>
      </c>
      <c r="L42" s="210">
        <f>R43</f>
        <v>-11371.615750297895</v>
      </c>
      <c r="M42" s="210">
        <f t="shared" ref="M42:P42" si="39">S43</f>
        <v>-12525.268568281808</v>
      </c>
      <c r="N42" s="210">
        <f t="shared" si="39"/>
        <v>-13609.738906761608</v>
      </c>
      <c r="O42" s="210">
        <f t="shared" si="39"/>
        <v>-14613.860048109464</v>
      </c>
      <c r="P42" s="210">
        <f t="shared" si="39"/>
        <v>-15743.514568332015</v>
      </c>
      <c r="R42" s="211">
        <f>'Historical Financial Statement'!M26</f>
        <v>13184.571848818108</v>
      </c>
      <c r="S42" s="185">
        <f>'Historical Financial Statement'!N26</f>
        <v>14406.23341960711</v>
      </c>
      <c r="T42" s="185">
        <f>'Historical Financial Statement'!O26</f>
        <v>15430.829569218746</v>
      </c>
      <c r="U42" s="185">
        <f>'Historical Financial Statement'!P26</f>
        <v>16330.758353576497</v>
      </c>
      <c r="V42" s="212">
        <f>'Historical Financial Statement'!Q26</f>
        <v>17353.215262760175</v>
      </c>
    </row>
    <row r="43" spans="1:22" x14ac:dyDescent="0.45">
      <c r="A43" s="114" t="s">
        <v>227</v>
      </c>
      <c r="B43" s="184">
        <f>ABS(B42/'Historical Financial Statement'!C26)</f>
        <v>0.79309576837416484</v>
      </c>
      <c r="C43" s="184">
        <f>ABS(C42/'Historical Financial Statement'!D26)</f>
        <v>0.74393736872255112</v>
      </c>
      <c r="D43" s="184">
        <f>ABS(D42/'Historical Financial Statement'!E26)</f>
        <v>0.7531477799867462</v>
      </c>
      <c r="E43" s="184">
        <f>ABS(E42/'Historical Financial Statement'!F26)</f>
        <v>0.77114870881567232</v>
      </c>
      <c r="F43" s="184">
        <f>ABS(F42/'Historical Financial Statement'!G26)</f>
        <v>1.1077445310535579</v>
      </c>
      <c r="G43" s="184">
        <f>ABS(G42/'Historical Financial Statement'!H26)</f>
        <v>0.85268768428215014</v>
      </c>
      <c r="H43" s="184">
        <f>ABS(H42/'Historical Financial Statement'!I26)</f>
        <v>0.84912668138927927</v>
      </c>
      <c r="I43" s="184">
        <f>ABS(I42/'Historical Financial Statement'!J26)</f>
        <v>0.92920703974688545</v>
      </c>
      <c r="J43" s="184">
        <f>ABS(J42/'Historical Financial Statement'!K26)</f>
        <v>1.1699549041713642</v>
      </c>
      <c r="K43" s="184">
        <f>ABS(K42/'Historical Financial Statement'!L26)</f>
        <v>0.65489077591236144</v>
      </c>
      <c r="L43" s="109">
        <f>ABS(L42/'Historical Financial Statement'!M26)</f>
        <v>0.86249412424547334</v>
      </c>
      <c r="M43" s="109">
        <f>ABS(M42/'Historical Financial Statement'!N26)</f>
        <v>0.86943395983260419</v>
      </c>
      <c r="N43" s="109">
        <f>ABS(N42/'Historical Financial Statement'!O26)</f>
        <v>0.88198361894360944</v>
      </c>
      <c r="O43" s="109">
        <f>ABS(O42/'Historical Financial Statement'!P26)</f>
        <v>0.89486720283929577</v>
      </c>
      <c r="P43" s="109">
        <f>ABS(P42/'Historical Financial Statement'!Q26)</f>
        <v>0.90723905224165802</v>
      </c>
      <c r="R43" s="211">
        <f>-'Historical Financial Statement'!M26*Calculation!B44</f>
        <v>-11371.615750297895</v>
      </c>
      <c r="S43" s="185">
        <f>-'Historical Financial Statement'!N26*Calculation!C44</f>
        <v>-12525.268568281808</v>
      </c>
      <c r="T43" s="185">
        <f>-'Historical Financial Statement'!O26*Calculation!D44</f>
        <v>-13609.738906761608</v>
      </c>
      <c r="U43" s="185">
        <f>-'Historical Financial Statement'!P26*Calculation!E44</f>
        <v>-14613.860048109464</v>
      </c>
      <c r="V43" s="212">
        <f>-'Historical Financial Statement'!Q26*Calculation!F44</f>
        <v>-15743.514568332015</v>
      </c>
    </row>
    <row r="44" spans="1:22" ht="14.65" thickBot="1" x14ac:dyDescent="0.5">
      <c r="A44" s="114" t="s">
        <v>205</v>
      </c>
      <c r="B44" s="105">
        <f>AVERAGE(B43:K43)</f>
        <v>0.86249412424547334</v>
      </c>
      <c r="C44" s="105">
        <f>AVERAGE(C43:L43)</f>
        <v>0.86943395983260419</v>
      </c>
      <c r="D44" s="105">
        <f>AVERAGE(D43:M43)</f>
        <v>0.88198361894360944</v>
      </c>
      <c r="E44" s="105">
        <f>AVERAGE(E43:N43)</f>
        <v>0.89486720283929577</v>
      </c>
      <c r="F44" s="105">
        <f>AVERAGE(F43:O43)</f>
        <v>0.90723905224165802</v>
      </c>
      <c r="R44" s="213">
        <f>SUM(R41:R43)</f>
        <v>50800.956098520212</v>
      </c>
      <c r="S44" s="214">
        <f t="shared" ref="S44:V44" si="40">SUM(S41:S43)</f>
        <v>52681.920949845517</v>
      </c>
      <c r="T44" s="214">
        <f t="shared" si="40"/>
        <v>54503.011612302646</v>
      </c>
      <c r="U44" s="214">
        <f t="shared" si="40"/>
        <v>56219.909917769677</v>
      </c>
      <c r="V44" s="215">
        <f t="shared" si="40"/>
        <v>57829.610612197837</v>
      </c>
    </row>
    <row r="46" spans="1:22" x14ac:dyDescent="0.45">
      <c r="A46" s="114" t="str">
        <f>'Historical Financial Statement'!B36</f>
        <v>Trade Payables</v>
      </c>
      <c r="B46" s="114">
        <f>'Historical Financial Statement'!C36</f>
        <v>6006</v>
      </c>
      <c r="C46" s="114">
        <f>'Historical Financial Statement'!D36</f>
        <v>7013</v>
      </c>
      <c r="D46" s="114">
        <f>'Historical Financial Statement'!E36</f>
        <v>7070</v>
      </c>
      <c r="E46" s="114">
        <f>'Historical Financial Statement'!F36</f>
        <v>7399</v>
      </c>
      <c r="F46" s="114">
        <f>'Historical Financial Statement'!G36</f>
        <v>8627</v>
      </c>
      <c r="G46" s="114">
        <f>'Historical Financial Statement'!H36</f>
        <v>8864</v>
      </c>
      <c r="H46" s="114">
        <f>'Historical Financial Statement'!I36</f>
        <v>9391</v>
      </c>
      <c r="I46" s="114">
        <f>'Historical Financial Statement'!J36</f>
        <v>10148</v>
      </c>
      <c r="J46" s="114">
        <f>'Historical Financial Statement'!K36</f>
        <v>10998</v>
      </c>
      <c r="K46" s="114">
        <f>'Historical Financial Statement'!L36</f>
        <v>12913</v>
      </c>
      <c r="L46" s="2">
        <f>(L5*B48)/365</f>
        <v>12895.106109965896</v>
      </c>
      <c r="M46" s="2">
        <f t="shared" ref="M46:P46" si="41">(M5*C48)/365</f>
        <v>13567.994406088736</v>
      </c>
      <c r="N46" s="2">
        <f t="shared" si="41"/>
        <v>14122.085283804661</v>
      </c>
      <c r="O46" s="2">
        <f t="shared" si="41"/>
        <v>14794.543137582976</v>
      </c>
      <c r="P46" s="2">
        <f t="shared" si="41"/>
        <v>15404.403030673582</v>
      </c>
    </row>
    <row r="47" spans="1:22" x14ac:dyDescent="0.45">
      <c r="A47" s="216" t="str">
        <f>'Ratio Analysis'!B36</f>
        <v>Payable Days</v>
      </c>
      <c r="B47" s="216">
        <f>'Ratio Analysis'!C36</f>
        <v>121.99844176081028</v>
      </c>
      <c r="C47" s="216">
        <f>'Ratio Analysis'!D36</f>
        <v>136.51973333333333</v>
      </c>
      <c r="D47" s="216">
        <f>'Ratio Analysis'!E36</f>
        <v>126.02803281890994</v>
      </c>
      <c r="E47" s="216">
        <f>'Ratio Analysis'!F36</f>
        <v>134.55408300533108</v>
      </c>
      <c r="F47" s="216">
        <f>'Ratio Analysis'!G36</f>
        <v>127.10834376135308</v>
      </c>
      <c r="G47" s="216">
        <f>'Ratio Analysis'!H36</f>
        <v>113.98534385569334</v>
      </c>
      <c r="H47" s="216">
        <f>'Ratio Analysis'!I36</f>
        <v>98.826980740399023</v>
      </c>
      <c r="I47" s="216">
        <f>'Ratio Analysis'!J36</f>
        <v>112.07661351326817</v>
      </c>
      <c r="J47" s="216">
        <f>'Ratio Analysis'!K36</f>
        <v>121.89942607269747</v>
      </c>
      <c r="K47" s="216">
        <f>'Ratio Analysis'!L36</f>
        <v>135.53933973658479</v>
      </c>
      <c r="L47" s="217">
        <f>365/(L5/L46)</f>
        <v>122.85363385983806</v>
      </c>
      <c r="M47" s="217">
        <f t="shared" ref="M47:P47" si="42">365/(M5/M46)</f>
        <v>122.93915306974085</v>
      </c>
      <c r="N47" s="217">
        <f t="shared" si="42"/>
        <v>121.58109504338155</v>
      </c>
      <c r="O47" s="217">
        <f t="shared" si="42"/>
        <v>121.13640126582871</v>
      </c>
      <c r="P47" s="217">
        <f t="shared" si="42"/>
        <v>119.79463309187851</v>
      </c>
    </row>
    <row r="48" spans="1:22" x14ac:dyDescent="0.45">
      <c r="A48" s="114" t="s">
        <v>205</v>
      </c>
      <c r="B48" s="110">
        <f>AVERAGE(B47:K47)</f>
        <v>122.85363385983806</v>
      </c>
      <c r="C48" s="110">
        <f>AVERAGE(C47:L47)</f>
        <v>122.93915306974084</v>
      </c>
      <c r="D48" s="110">
        <f>AVERAGE(D47:M47)</f>
        <v>121.58109504338157</v>
      </c>
      <c r="E48" s="110">
        <f>AVERAGE(E47:N47)</f>
        <v>121.13640126582872</v>
      </c>
      <c r="F48" s="110">
        <f>AVERAGE(F47:O47)</f>
        <v>119.79463309187852</v>
      </c>
    </row>
    <row r="50" spans="1:17" x14ac:dyDescent="0.45">
      <c r="A50" s="114" t="str">
        <f>'Historical Financial Statement'!B37</f>
        <v>Advance from Customers</v>
      </c>
      <c r="B50" s="114">
        <f>'Historical Financial Statement'!C37</f>
        <v>70</v>
      </c>
      <c r="C50" s="114">
        <f>'Historical Financial Statement'!D37</f>
        <v>55</v>
      </c>
      <c r="D50" s="114">
        <f>'Historical Financial Statement'!E37</f>
        <v>39</v>
      </c>
      <c r="E50" s="114">
        <f>'Historical Financial Statement'!F37</f>
        <v>154</v>
      </c>
      <c r="F50" s="114">
        <f>'Historical Financial Statement'!G37</f>
        <v>93</v>
      </c>
      <c r="G50" s="114">
        <f>'Historical Financial Statement'!H37</f>
        <v>113</v>
      </c>
      <c r="H50" s="114">
        <f>'Historical Financial Statement'!I37</f>
        <v>86</v>
      </c>
      <c r="I50" s="114">
        <f>'Historical Financial Statement'!J37</f>
        <v>89</v>
      </c>
      <c r="J50" s="114">
        <f>'Historical Financial Statement'!K37</f>
        <v>0</v>
      </c>
      <c r="K50" s="114">
        <f>'Historical Financial Statement'!L37</f>
        <v>0</v>
      </c>
      <c r="L50" s="2">
        <f>L4*B52</f>
        <v>111.01985814525121</v>
      </c>
      <c r="M50" s="2">
        <f t="shared" ref="M50:P50" si="43">M4*C52</f>
        <v>112.60284556996747</v>
      </c>
      <c r="N50" s="2">
        <f t="shared" si="43"/>
        <v>117.93168815183948</v>
      </c>
      <c r="O50" s="2">
        <f t="shared" si="43"/>
        <v>127.80587614017227</v>
      </c>
      <c r="P50" s="2">
        <f t="shared" si="43"/>
        <v>113.48286461223391</v>
      </c>
    </row>
    <row r="51" spans="1:17" x14ac:dyDescent="0.45">
      <c r="A51" s="114" t="s">
        <v>219</v>
      </c>
      <c r="B51" s="184">
        <f>B50/B4</f>
        <v>2.1950454687989967E-3</v>
      </c>
      <c r="C51" s="184">
        <f t="shared" ref="C51:L51" si="44">C50/C4</f>
        <v>1.5930485155684288E-3</v>
      </c>
      <c r="D51" s="184">
        <f t="shared" si="44"/>
        <v>1.020301381331101E-3</v>
      </c>
      <c r="E51" s="184">
        <f t="shared" si="44"/>
        <v>3.9706071935026429E-3</v>
      </c>
      <c r="F51" s="184">
        <f t="shared" si="44"/>
        <v>2.0219149491260109E-3</v>
      </c>
      <c r="G51" s="184">
        <f t="shared" si="44"/>
        <v>2.2073330338132167E-3</v>
      </c>
      <c r="H51" s="184">
        <f t="shared" si="44"/>
        <v>1.4540781820641148E-3</v>
      </c>
      <c r="I51" s="184">
        <f t="shared" si="44"/>
        <v>1.4718285402437613E-3</v>
      </c>
      <c r="J51" s="184">
        <f t="shared" si="44"/>
        <v>0</v>
      </c>
      <c r="K51" s="184">
        <f t="shared" si="44"/>
        <v>0</v>
      </c>
      <c r="L51" s="109">
        <f t="shared" si="44"/>
        <v>1.5934157264448274E-3</v>
      </c>
      <c r="M51" s="109">
        <f t="shared" ref="M51" si="45">M50/M4</f>
        <v>1.5332527522094104E-3</v>
      </c>
      <c r="N51" s="109">
        <f t="shared" ref="N51" si="46">N50/N4</f>
        <v>1.5272731758735082E-3</v>
      </c>
      <c r="O51" s="109">
        <f t="shared" ref="O51" si="47">O50/O4</f>
        <v>1.5779703553277491E-3</v>
      </c>
      <c r="P51" s="109">
        <f t="shared" ref="P51" si="48">P50/P4</f>
        <v>1.3387066715102598E-3</v>
      </c>
    </row>
    <row r="52" spans="1:17" x14ac:dyDescent="0.45">
      <c r="A52" s="114" t="s">
        <v>229</v>
      </c>
      <c r="B52" s="184">
        <f>AVERAGE(B51:K51)</f>
        <v>1.5934157264448274E-3</v>
      </c>
      <c r="C52" s="184">
        <f t="shared" ref="C52:F52" si="49">AVERAGE(C51:L51)</f>
        <v>1.5332527522094104E-3</v>
      </c>
      <c r="D52" s="184">
        <f t="shared" si="49"/>
        <v>1.5272731758735082E-3</v>
      </c>
      <c r="E52" s="184">
        <f t="shared" si="49"/>
        <v>1.5779703553277491E-3</v>
      </c>
      <c r="F52" s="184">
        <f t="shared" si="49"/>
        <v>1.3387066715102598E-3</v>
      </c>
      <c r="G52" s="184"/>
      <c r="H52" s="184"/>
      <c r="I52" s="184"/>
      <c r="J52" s="184"/>
      <c r="K52" s="184"/>
    </row>
    <row r="54" spans="1:17" x14ac:dyDescent="0.45">
      <c r="A54" s="114" t="str">
        <f>'Historical Financial Statement'!B42</f>
        <v>Other Liabilities</v>
      </c>
      <c r="B54" s="114">
        <f>'Historical Financial Statement'!C42</f>
        <v>2185</v>
      </c>
      <c r="C54" s="114">
        <f>'Historical Financial Statement'!D42</f>
        <v>3006</v>
      </c>
      <c r="D54" s="114">
        <f>'Historical Financial Statement'!E42</f>
        <v>3097</v>
      </c>
      <c r="E54" s="114">
        <f>'Historical Financial Statement'!F42</f>
        <v>4018</v>
      </c>
      <c r="F54" s="114">
        <f>'Historical Financial Statement'!G42</f>
        <v>11019</v>
      </c>
      <c r="G54" s="114">
        <f>'Historical Financial Statement'!H42</f>
        <v>11029</v>
      </c>
      <c r="H54" s="114">
        <f>'Historical Financial Statement'!I42</f>
        <v>11088</v>
      </c>
      <c r="I54" s="114">
        <f>'Historical Financial Statement'!J42</f>
        <v>14492</v>
      </c>
      <c r="J54" s="114">
        <f>'Historical Financial Statement'!K42</f>
        <v>16625</v>
      </c>
      <c r="K54" s="114">
        <f>'Historical Financial Statement'!L42</f>
        <v>14521</v>
      </c>
      <c r="L54" s="2">
        <f>L4*B56</f>
        <v>12090.090075891738</v>
      </c>
      <c r="M54" s="2">
        <f t="shared" ref="M54:P54" si="50">M4*C56</f>
        <v>13514.816156481022</v>
      </c>
      <c r="N54" s="2">
        <f t="shared" si="50"/>
        <v>14958.483553338028</v>
      </c>
      <c r="O54" s="2">
        <f t="shared" si="50"/>
        <v>16602.880408740672</v>
      </c>
      <c r="P54" s="2">
        <f t="shared" si="50"/>
        <v>18236.571778825975</v>
      </c>
    </row>
    <row r="55" spans="1:17" x14ac:dyDescent="0.45">
      <c r="A55" s="114" t="s">
        <v>219</v>
      </c>
      <c r="B55" s="184">
        <f>B54/B4</f>
        <v>6.8516776418940106E-2</v>
      </c>
      <c r="C55" s="184">
        <f t="shared" ref="C55:K55" si="51">C54/C4</f>
        <v>8.7067342505430842E-2</v>
      </c>
      <c r="D55" s="184">
        <f t="shared" si="51"/>
        <v>8.1022394307241521E-2</v>
      </c>
      <c r="E55" s="184">
        <f t="shared" si="51"/>
        <v>0.10359675132138714</v>
      </c>
      <c r="F55" s="184">
        <f t="shared" si="51"/>
        <v>0.23956430993999478</v>
      </c>
      <c r="G55" s="184">
        <f t="shared" si="51"/>
        <v>0.21543961088430058</v>
      </c>
      <c r="H55" s="184">
        <f t="shared" si="51"/>
        <v>0.18747463817124307</v>
      </c>
      <c r="I55" s="184">
        <f t="shared" si="51"/>
        <v>0.23965999106980437</v>
      </c>
      <c r="J55" s="184">
        <f t="shared" si="51"/>
        <v>0.27858770695086804</v>
      </c>
      <c r="K55" s="184">
        <f t="shared" si="51"/>
        <v>0.23430415490116982</v>
      </c>
      <c r="L55" s="184">
        <f t="shared" ref="L55" si="52">L54/L4</f>
        <v>0.17352336764703802</v>
      </c>
      <c r="M55" s="184">
        <f t="shared" ref="M55" si="53">M54/M4</f>
        <v>0.1840240267698478</v>
      </c>
      <c r="N55" s="184">
        <f t="shared" ref="N55" si="54">N54/N4</f>
        <v>0.19371969519628951</v>
      </c>
      <c r="O55" s="184">
        <f t="shared" ref="O55" si="55">O54/O4</f>
        <v>0.20498942528519432</v>
      </c>
      <c r="P55" s="184">
        <f t="shared" ref="P55" si="56">P54/P4</f>
        <v>0.21512869268157506</v>
      </c>
    </row>
    <row r="56" spans="1:17" x14ac:dyDescent="0.45">
      <c r="A56" s="114" t="s">
        <v>205</v>
      </c>
      <c r="B56" s="184">
        <f>AVERAGE(B55:K55)</f>
        <v>0.17352336764703802</v>
      </c>
      <c r="C56" s="184">
        <f t="shared" ref="C56:F56" si="57">AVERAGE(C55:L55)</f>
        <v>0.1840240267698478</v>
      </c>
      <c r="D56" s="184">
        <f t="shared" si="57"/>
        <v>0.19371969519628951</v>
      </c>
      <c r="E56" s="184">
        <f t="shared" si="57"/>
        <v>0.20498942528519432</v>
      </c>
      <c r="F56" s="184">
        <f t="shared" si="57"/>
        <v>0.21512869268157506</v>
      </c>
      <c r="G56" s="184"/>
      <c r="H56" s="184"/>
      <c r="I56" s="184"/>
      <c r="J56" s="184"/>
      <c r="K56" s="184"/>
    </row>
    <row r="58" spans="1:17" x14ac:dyDescent="0.45">
      <c r="A58" s="114" t="str">
        <f>'Historical Financial Statement'!B50</f>
        <v>Capital Work in Progress</v>
      </c>
      <c r="B58" s="114">
        <f>'Historical Financial Statement'!C50</f>
        <v>203</v>
      </c>
      <c r="C58" s="114">
        <f>'Historical Financial Statement'!D50</f>
        <v>430</v>
      </c>
      <c r="D58" s="114">
        <f>'Historical Financial Statement'!E50</f>
        <v>373</v>
      </c>
      <c r="E58" s="114">
        <f>'Historical Financial Statement'!F50</f>
        <v>513</v>
      </c>
      <c r="F58" s="114">
        <f>'Historical Financial Statement'!G50</f>
        <v>623</v>
      </c>
      <c r="G58" s="114">
        <f>'Historical Financial Statement'!H50</f>
        <v>901</v>
      </c>
      <c r="H58" s="114">
        <f>'Historical Financial Statement'!I50</f>
        <v>1020</v>
      </c>
      <c r="I58" s="114">
        <f>'Historical Financial Statement'!J50</f>
        <v>915</v>
      </c>
      <c r="J58" s="114">
        <f>'Historical Financial Statement'!K50</f>
        <v>956</v>
      </c>
      <c r="K58" s="114">
        <f>'Historical Financial Statement'!L50</f>
        <v>833</v>
      </c>
      <c r="L58" s="187">
        <f>L17*B60</f>
        <v>2359.2155355108921</v>
      </c>
      <c r="M58" s="187">
        <f t="shared" ref="M58:P58" si="58">M17*C60</f>
        <v>2366.4696001811185</v>
      </c>
      <c r="N58" s="187">
        <f t="shared" si="58"/>
        <v>2078.9206534012706</v>
      </c>
      <c r="O58" s="187">
        <f t="shared" si="58"/>
        <v>1851.0450306688258</v>
      </c>
      <c r="P58" s="187">
        <f t="shared" si="58"/>
        <v>1498.6301627368739</v>
      </c>
    </row>
    <row r="59" spans="1:17" x14ac:dyDescent="0.45">
      <c r="A59" s="114" t="s">
        <v>219</v>
      </c>
      <c r="B59" s="184">
        <f>B58/B17</f>
        <v>5.044731610337972E-2</v>
      </c>
      <c r="C59" s="184">
        <f t="shared" ref="C59:K59" si="59">C58/C17</f>
        <v>0.10381458232737807</v>
      </c>
      <c r="D59" s="184">
        <f t="shared" si="59"/>
        <v>8.5885332719318447E-2</v>
      </c>
      <c r="E59" s="184">
        <f t="shared" si="59"/>
        <v>0.10146360759493671</v>
      </c>
      <c r="F59" s="184">
        <f t="shared" si="59"/>
        <v>1.2209222568444157E-2</v>
      </c>
      <c r="G59" s="184">
        <f t="shared" si="59"/>
        <v>1.765489673550966E-2</v>
      </c>
      <c r="H59" s="184">
        <f t="shared" si="59"/>
        <v>1.9842427779398892E-2</v>
      </c>
      <c r="I59" s="184">
        <f t="shared" si="59"/>
        <v>1.7468832929227362E-2</v>
      </c>
      <c r="J59" s="184">
        <f t="shared" si="59"/>
        <v>1.8069442606838414E-2</v>
      </c>
      <c r="K59" s="184">
        <f t="shared" si="59"/>
        <v>1.5891184494171959E-2</v>
      </c>
      <c r="L59" s="184">
        <f t="shared" ref="L59" si="60">L58/L17</f>
        <v>4.4274684585860341E-2</v>
      </c>
      <c r="M59" s="184">
        <f t="shared" ref="M59" si="61">M58/M17</f>
        <v>4.3657421434108404E-2</v>
      </c>
      <c r="N59" s="184">
        <f t="shared" ref="N59" si="62">N58/N17</f>
        <v>3.7641705344781444E-2</v>
      </c>
      <c r="O59" s="184">
        <f t="shared" ref="O59" si="63">O58/O17</f>
        <v>3.2817342607327729E-2</v>
      </c>
      <c r="P59" s="184">
        <f t="shared" ref="P59" si="64">P58/P17</f>
        <v>2.5952716108566837E-2</v>
      </c>
    </row>
    <row r="60" spans="1:17" x14ac:dyDescent="0.45">
      <c r="A60" s="114" t="s">
        <v>205</v>
      </c>
      <c r="B60" s="184">
        <f>AVERAGE(B59:K59)</f>
        <v>4.4274684585860341E-2</v>
      </c>
      <c r="C60" s="184">
        <f>AVERAGE(C59:L59)</f>
        <v>4.3657421434108404E-2</v>
      </c>
      <c r="D60" s="184">
        <f>AVERAGE(D59:M59)</f>
        <v>3.7641705344781437E-2</v>
      </c>
      <c r="E60" s="184">
        <f>AVERAGE(E59:N59)</f>
        <v>3.2817342607327729E-2</v>
      </c>
      <c r="F60" s="184">
        <f>AVERAGE(F59:O59)</f>
        <v>2.5952716108566837E-2</v>
      </c>
      <c r="G60" s="184"/>
      <c r="H60" s="184"/>
      <c r="I60" s="184"/>
      <c r="J60" s="184"/>
      <c r="K60" s="184"/>
      <c r="L60" s="109"/>
      <c r="M60" s="109"/>
      <c r="N60" s="109"/>
      <c r="O60" s="109"/>
      <c r="P60" s="109"/>
    </row>
    <row r="62" spans="1:17" x14ac:dyDescent="0.45">
      <c r="A62" s="114" t="str">
        <f>'Historical Financial Statement'!B52</f>
        <v>Other Assets</v>
      </c>
      <c r="B62" s="114">
        <f>'Historical Financial Statement'!C52</f>
        <v>1784</v>
      </c>
      <c r="C62" s="114">
        <f>'Historical Financial Statement'!D52</f>
        <v>2587</v>
      </c>
      <c r="D62" s="114">
        <f>'Historical Financial Statement'!E52</f>
        <v>2417</v>
      </c>
      <c r="E62" s="114">
        <f>'Historical Financial Statement'!F52</f>
        <v>3834</v>
      </c>
      <c r="F62" s="114">
        <f>'Historical Financial Statement'!G52</f>
        <v>4119</v>
      </c>
      <c r="G62" s="114">
        <f>'Historical Financial Statement'!H52</f>
        <v>4240</v>
      </c>
      <c r="H62" s="114">
        <f>'Historical Financial Statement'!I52</f>
        <v>4418</v>
      </c>
      <c r="I62" s="114">
        <f>'Historical Financial Statement'!J52</f>
        <v>4571</v>
      </c>
      <c r="J62" s="114">
        <f>'Historical Financial Statement'!K52</f>
        <v>4944</v>
      </c>
      <c r="K62" s="114">
        <f>'Historical Financial Statement'!L52</f>
        <v>5601</v>
      </c>
      <c r="L62" s="2">
        <f>L4*B64</f>
        <v>5496.2285442838247</v>
      </c>
      <c r="M62" s="2">
        <f t="shared" ref="M62:P62" si="65">M4*C64</f>
        <v>5961.8281621547403</v>
      </c>
      <c r="N62" s="2">
        <f t="shared" si="65"/>
        <v>6316.6573045570331</v>
      </c>
      <c r="O62" s="2">
        <f t="shared" si="65"/>
        <v>6776.0204384914859</v>
      </c>
      <c r="P62" s="2">
        <f t="shared" si="65"/>
        <v>6963.2004602546913</v>
      </c>
    </row>
    <row r="63" spans="1:17" x14ac:dyDescent="0.45">
      <c r="A63" s="114" t="s">
        <v>219</v>
      </c>
      <c r="B63" s="184">
        <f>B62/B4</f>
        <v>5.5942301661962998E-2</v>
      </c>
      <c r="C63" s="184">
        <f t="shared" ref="C63:K63" si="66">C62/C4</f>
        <v>7.493120926864591E-2</v>
      </c>
      <c r="D63" s="184">
        <f t="shared" si="66"/>
        <v>6.3232524068647974E-2</v>
      </c>
      <c r="E63" s="184">
        <f t="shared" si="66"/>
        <v>9.8852649220059305E-2</v>
      </c>
      <c r="F63" s="184">
        <f t="shared" si="66"/>
        <v>8.9551265327419777E-2</v>
      </c>
      <c r="G63" s="184">
        <f t="shared" si="66"/>
        <v>8.2823823569628655E-2</v>
      </c>
      <c r="H63" s="184">
        <f t="shared" si="66"/>
        <v>7.4699039632084407E-2</v>
      </c>
      <c r="I63" s="184">
        <f t="shared" si="66"/>
        <v>7.5592452330946441E-2</v>
      </c>
      <c r="J63" s="184">
        <f t="shared" si="66"/>
        <v>8.2847375829479195E-2</v>
      </c>
      <c r="K63" s="184">
        <f t="shared" si="66"/>
        <v>9.0375151270673665E-2</v>
      </c>
      <c r="L63" s="184">
        <f t="shared" ref="L63" si="67">L62/L4</f>
        <v>7.8884779217954837E-2</v>
      </c>
      <c r="M63" s="184">
        <f t="shared" ref="M63" si="68">M62/M4</f>
        <v>8.1179026973554017E-2</v>
      </c>
      <c r="N63" s="184">
        <f t="shared" ref="N63" si="69">N62/N4</f>
        <v>8.1803808744044831E-2</v>
      </c>
      <c r="O63" s="184">
        <f t="shared" ref="O63" si="70">O62/O4</f>
        <v>8.3660937211584518E-2</v>
      </c>
      <c r="P63" s="184">
        <f t="shared" ref="P63" si="71">P62/P4</f>
        <v>8.2141766010737027E-2</v>
      </c>
      <c r="Q63" s="184"/>
    </row>
    <row r="64" spans="1:17" x14ac:dyDescent="0.45">
      <c r="A64" s="114" t="s">
        <v>205</v>
      </c>
      <c r="B64" s="184">
        <f>AVERAGE(B63:K63)</f>
        <v>7.8884779217954837E-2</v>
      </c>
      <c r="C64" s="184">
        <f>AVERAGE(C63:L63)</f>
        <v>8.1179026973554017E-2</v>
      </c>
      <c r="D64" s="184">
        <f>AVERAGE(D63:M63)</f>
        <v>8.1803808744044831E-2</v>
      </c>
      <c r="E64" s="184">
        <f>AVERAGE(E63:N63)</f>
        <v>8.3660937211584518E-2</v>
      </c>
      <c r="F64" s="184">
        <f>AVERAGE(F63:O63)</f>
        <v>8.2141766010737027E-2</v>
      </c>
      <c r="G64" s="184"/>
      <c r="H64" s="184"/>
      <c r="I64" s="184"/>
      <c r="J64" s="184"/>
      <c r="K64" s="184"/>
      <c r="L64" s="109"/>
      <c r="M64" s="109"/>
      <c r="N64" s="109"/>
      <c r="O64" s="109"/>
      <c r="P64" s="109"/>
    </row>
    <row r="66" spans="1:16" x14ac:dyDescent="0.45">
      <c r="A66" s="114" t="str">
        <f>'Historical Financial Statement'!B56</f>
        <v>Receivables</v>
      </c>
      <c r="B66" s="114">
        <f>'Historical Financial Statement'!C56</f>
        <v>928</v>
      </c>
      <c r="C66" s="114">
        <f>'Historical Financial Statement'!D56</f>
        <v>1147</v>
      </c>
      <c r="D66" s="114">
        <f>'Historical Financial Statement'!E56</f>
        <v>1673</v>
      </c>
      <c r="E66" s="114">
        <f>'Historical Financial Statement'!F56</f>
        <v>1046</v>
      </c>
      <c r="F66" s="114">
        <f>'Historical Financial Statement'!G56</f>
        <v>1648</v>
      </c>
      <c r="G66" s="114">
        <f>'Historical Financial Statement'!H56</f>
        <v>1932</v>
      </c>
      <c r="H66" s="114">
        <f>'Historical Financial Statement'!I56</f>
        <v>2735</v>
      </c>
      <c r="I66" s="114">
        <f>'Historical Financial Statement'!J56</f>
        <v>2690</v>
      </c>
      <c r="J66" s="114">
        <f>'Historical Financial Statement'!K56</f>
        <v>3450</v>
      </c>
      <c r="K66" s="114">
        <f>'Historical Financial Statement'!L56</f>
        <v>3037</v>
      </c>
      <c r="L66" s="2">
        <f>L4*B68/365</f>
        <v>2816.0407380200022</v>
      </c>
      <c r="M66" s="2">
        <f>M4*C68/365</f>
        <v>3051.3817202079767</v>
      </c>
      <c r="N66" s="2">
        <f t="shared" ref="N66:P66" si="72">N4*D68/365</f>
        <v>3272.59478095138</v>
      </c>
      <c r="O66" s="2">
        <f t="shared" si="72"/>
        <v>3421.4264558912255</v>
      </c>
      <c r="P66" s="2">
        <f t="shared" si="72"/>
        <v>3710.4423949579427</v>
      </c>
    </row>
    <row r="67" spans="1:16" x14ac:dyDescent="0.45">
      <c r="A67" s="114" t="str">
        <f>'Ratio Analysis'!B35</f>
        <v>Receivable Days</v>
      </c>
      <c r="B67" s="114">
        <f>'Ratio Analysis'!C35</f>
        <v>10.621511445594232</v>
      </c>
      <c r="C67" s="114">
        <f>'Ratio Analysis'!D35</f>
        <v>12.126140477914555</v>
      </c>
      <c r="D67" s="114">
        <f>'Ratio Analysis'!E35</f>
        <v>15.975434282126415</v>
      </c>
      <c r="E67" s="114">
        <f>'Ratio Analysis'!F35</f>
        <v>9.8437540286193119</v>
      </c>
      <c r="F67" s="114">
        <f>'Ratio Analysis'!G35</f>
        <v>13.077658926863204</v>
      </c>
      <c r="G67" s="114">
        <f>'Ratio Analysis'!H35</f>
        <v>13.774930166233665</v>
      </c>
      <c r="H67" s="114">
        <f>'Ratio Analysis'!I35</f>
        <v>16.878719734884349</v>
      </c>
      <c r="I67" s="114">
        <f>'Ratio Analysis'!J35</f>
        <v>16.237245530767833</v>
      </c>
      <c r="J67" s="114">
        <f>'Ratio Analysis'!K35</f>
        <v>21.101447818218379</v>
      </c>
      <c r="K67" s="114">
        <f>'Ratio Analysis'!L35</f>
        <v>17.886325131101248</v>
      </c>
      <c r="L67" s="114">
        <f>365/(L4/L66)</f>
        <v>14.752316754232321</v>
      </c>
      <c r="M67" s="114">
        <f t="shared" ref="M67:P67" si="73">365/(M4/M66)</f>
        <v>15.165397285096128</v>
      </c>
      <c r="N67" s="114">
        <f t="shared" si="73"/>
        <v>15.469322965814285</v>
      </c>
      <c r="O67" s="114">
        <f t="shared" si="73"/>
        <v>15.418711834183073</v>
      </c>
      <c r="P67" s="114">
        <f t="shared" si="73"/>
        <v>15.976207614739446</v>
      </c>
    </row>
    <row r="68" spans="1:16" x14ac:dyDescent="0.45">
      <c r="A68" s="114" t="s">
        <v>205</v>
      </c>
      <c r="B68">
        <f>AVERAGE(B67:K67)</f>
        <v>14.75231675423232</v>
      </c>
      <c r="C68">
        <f>AVERAGE(C67:L67)</f>
        <v>15.165397285096128</v>
      </c>
      <c r="D68">
        <f>AVERAGE(D67:M67)</f>
        <v>15.469322965814285</v>
      </c>
      <c r="E68">
        <f>AVERAGE(E67:N67)</f>
        <v>15.418711834183071</v>
      </c>
      <c r="F68">
        <f>AVERAGE(F67:O67)</f>
        <v>15.976207614739447</v>
      </c>
    </row>
    <row r="70" spans="1:16" x14ac:dyDescent="0.45">
      <c r="A70" s="114" t="str">
        <f>'Historical Financial Statement'!B57</f>
        <v>Inventory</v>
      </c>
      <c r="B70" s="114">
        <f>'Historical Financial Statement'!C57</f>
        <v>2362</v>
      </c>
      <c r="C70" s="114">
        <f>'Historical Financial Statement'!D57</f>
        <v>2359</v>
      </c>
      <c r="D70" s="114">
        <f>'Historical Financial Statement'!E57</f>
        <v>2422</v>
      </c>
      <c r="E70" s="114">
        <f>'Historical Financial Statement'!F57</f>
        <v>2636</v>
      </c>
      <c r="F70" s="114">
        <f>'Historical Financial Statement'!G57</f>
        <v>3383</v>
      </c>
      <c r="G70" s="114">
        <f>'Historical Financial Statement'!H57</f>
        <v>3890</v>
      </c>
      <c r="H70" s="114">
        <f>'Historical Financial Statement'!I57</f>
        <v>4031</v>
      </c>
      <c r="I70" s="114">
        <f>'Historical Financial Statement'!J57</f>
        <v>3812</v>
      </c>
      <c r="J70" s="114">
        <f>'Historical Financial Statement'!K57</f>
        <v>4161</v>
      </c>
      <c r="K70" s="114">
        <f>'Historical Financial Statement'!L57</f>
        <v>4383</v>
      </c>
      <c r="L70" s="2">
        <f>L5*B72/365</f>
        <v>4844.3110738379801</v>
      </c>
      <c r="M70" s="2">
        <f t="shared" ref="M70:P70" si="74">M5*C72/365</f>
        <v>5073.3945321506953</v>
      </c>
      <c r="N70" s="2">
        <f t="shared" si="74"/>
        <v>5340.1236996297966</v>
      </c>
      <c r="O70" s="2">
        <f t="shared" si="74"/>
        <v>5649.1493213772692</v>
      </c>
      <c r="P70" s="2">
        <f t="shared" si="74"/>
        <v>5926.2701722975344</v>
      </c>
    </row>
    <row r="71" spans="1:16" x14ac:dyDescent="0.45">
      <c r="A71" s="114" t="str">
        <f>'Ratio Analysis'!B34</f>
        <v>Inventory Days</v>
      </c>
      <c r="B71" s="114">
        <f>'Ratio Analysis'!C34</f>
        <v>47.97874116534031</v>
      </c>
      <c r="C71" s="114">
        <f>'Ratio Analysis'!D34</f>
        <v>45.921866666666666</v>
      </c>
      <c r="D71" s="114">
        <f>'Ratio Analysis'!E34</f>
        <v>43.173959757765182</v>
      </c>
      <c r="E71" s="114">
        <f>'Ratio Analysis'!F34</f>
        <v>47.936824273827916</v>
      </c>
      <c r="F71" s="114">
        <f>'Ratio Analysis'!G34</f>
        <v>49.844387034271179</v>
      </c>
      <c r="G71" s="114">
        <f>'Ratio Analysis'!H34</f>
        <v>50.022900225479141</v>
      </c>
      <c r="H71" s="114">
        <f>'Ratio Analysis'!I34</f>
        <v>42.420568561872912</v>
      </c>
      <c r="I71" s="114">
        <f>'Ratio Analysis'!J34</f>
        <v>42.100517413537474</v>
      </c>
      <c r="J71" s="114">
        <f>'Ratio Analysis'!K34</f>
        <v>46.119613737815435</v>
      </c>
      <c r="K71" s="114">
        <f>'Ratio Analysis'!L34</f>
        <v>46.005492609420834</v>
      </c>
      <c r="L71" s="2">
        <f>365/(L5/L70)</f>
        <v>46.152487144599704</v>
      </c>
      <c r="M71" s="2">
        <f t="shared" ref="M71:P71" si="75">365/(M5/M70)</f>
        <v>45.969861742525651</v>
      </c>
      <c r="N71" s="2">
        <f t="shared" si="75"/>
        <v>45.974661250111545</v>
      </c>
      <c r="O71" s="2">
        <f t="shared" si="75"/>
        <v>46.254731399346184</v>
      </c>
      <c r="P71" s="2">
        <f t="shared" si="75"/>
        <v>46.086522111898013</v>
      </c>
    </row>
    <row r="72" spans="1:16" x14ac:dyDescent="0.45">
      <c r="A72" s="114" t="s">
        <v>205</v>
      </c>
      <c r="B72">
        <f>AVERAGE(B71:K71)</f>
        <v>46.152487144599704</v>
      </c>
      <c r="C72">
        <f>AVERAGE(C71:L71)</f>
        <v>45.969861742525651</v>
      </c>
      <c r="D72">
        <f>AVERAGE(D71:M71)</f>
        <v>45.974661250111545</v>
      </c>
      <c r="E72">
        <f>AVERAGE(E71:N71)</f>
        <v>46.254731399346184</v>
      </c>
      <c r="F72">
        <f>AVERAGE(F71:O71)</f>
        <v>46.086522111898013</v>
      </c>
    </row>
    <row r="74" spans="1:16" x14ac:dyDescent="0.45">
      <c r="A74" s="114" t="str">
        <f>'Historical Financial Statement'!B51</f>
        <v>Investments</v>
      </c>
      <c r="B74" s="114">
        <f>'Historical Financial Statement'!C51</f>
        <v>3779</v>
      </c>
      <c r="C74" s="114">
        <f>'Historical Financial Statement'!D51</f>
        <v>3111</v>
      </c>
      <c r="D74" s="114">
        <f>'Historical Financial Statement'!E51</f>
        <v>2949</v>
      </c>
      <c r="E74" s="114">
        <f>'Historical Financial Statement'!F51</f>
        <v>1500</v>
      </c>
      <c r="F74" s="114">
        <f>'Historical Financial Statement'!G51</f>
        <v>2995</v>
      </c>
      <c r="G74" s="114">
        <f>'Historical Financial Statement'!H51</f>
        <v>4122</v>
      </c>
      <c r="H74" s="114">
        <f>'Historical Financial Statement'!I51</f>
        <v>3794</v>
      </c>
      <c r="I74" s="114">
        <f>'Historical Financial Statement'!J51</f>
        <v>5493</v>
      </c>
      <c r="J74" s="114">
        <f>'Historical Financial Statement'!K51</f>
        <v>4602</v>
      </c>
      <c r="K74" s="114">
        <f>'Historical Financial Statement'!L51</f>
        <v>8879</v>
      </c>
      <c r="L74" s="2">
        <f>L4*B76</f>
        <v>5890.5329672601074</v>
      </c>
      <c r="M74" s="2">
        <f t="shared" ref="M74:P74" si="76">M4*C76</f>
        <v>5959.5744655480739</v>
      </c>
      <c r="N74" s="2">
        <f t="shared" si="76"/>
        <v>6196.8551303206114</v>
      </c>
      <c r="O74" s="2">
        <f t="shared" si="76"/>
        <v>6525.0657026443305</v>
      </c>
      <c r="P74" s="2">
        <f t="shared" si="76"/>
        <v>7184.4094658489585</v>
      </c>
    </row>
    <row r="75" spans="1:16" x14ac:dyDescent="0.45">
      <c r="A75" s="114" t="s">
        <v>219</v>
      </c>
      <c r="B75" s="184">
        <f>B74/B4</f>
        <v>0.1185010975227344</v>
      </c>
      <c r="C75" s="184">
        <f t="shared" ref="C75:K75" si="77">C74/C4</f>
        <v>9.0108616944243297E-2</v>
      </c>
      <c r="D75" s="184">
        <f t="shared" si="77"/>
        <v>7.7150481372959392E-2</v>
      </c>
      <c r="E75" s="184">
        <f t="shared" si="77"/>
        <v>3.8674745391259507E-2</v>
      </c>
      <c r="F75" s="184">
        <f t="shared" si="77"/>
        <v>6.5114357770240897E-2</v>
      </c>
      <c r="G75" s="184">
        <f t="shared" si="77"/>
        <v>8.0518820932549376E-2</v>
      </c>
      <c r="H75" s="184">
        <f t="shared" si="77"/>
        <v>6.4148518869200602E-2</v>
      </c>
      <c r="I75" s="184">
        <f t="shared" si="77"/>
        <v>9.083993451189866E-2</v>
      </c>
      <c r="J75" s="184">
        <f t="shared" si="77"/>
        <v>7.711642871506133E-2</v>
      </c>
      <c r="K75" s="184">
        <f t="shared" si="77"/>
        <v>0.14326744655102863</v>
      </c>
      <c r="L75" s="184">
        <f t="shared" ref="L75" si="78">L74/L4</f>
        <v>8.454404485811759E-2</v>
      </c>
      <c r="M75" s="184">
        <f t="shared" ref="M75" si="79">M74/M4</f>
        <v>8.1148339591655932E-2</v>
      </c>
      <c r="N75" s="184">
        <f t="shared" ref="N75" si="80">N74/N4</f>
        <v>8.0252311856397182E-2</v>
      </c>
      <c r="O75" s="184">
        <f t="shared" ref="O75" si="81">O74/O4</f>
        <v>8.0562494904740961E-2</v>
      </c>
      <c r="P75" s="184">
        <f t="shared" ref="P75" si="82">P74/P4</f>
        <v>8.475126985608912E-2</v>
      </c>
    </row>
    <row r="76" spans="1:16" x14ac:dyDescent="0.45">
      <c r="A76" s="114" t="s">
        <v>220</v>
      </c>
      <c r="B76" s="184">
        <f>AVERAGE(B75:K75)</f>
        <v>8.454404485811759E-2</v>
      </c>
      <c r="C76" s="184">
        <f>AVERAGE(C75:L75)</f>
        <v>8.1148339591655932E-2</v>
      </c>
      <c r="D76" s="184">
        <f>AVERAGE(D75:M75)</f>
        <v>8.0252311856397182E-2</v>
      </c>
      <c r="E76" s="184">
        <f>AVERAGE(E75:N75)</f>
        <v>8.0562494904740961E-2</v>
      </c>
      <c r="F76" s="184">
        <f>AVERAGE(F75:O75)</f>
        <v>8.475126985608912E-2</v>
      </c>
      <c r="G76" s="184"/>
      <c r="H76" s="184"/>
      <c r="I76" s="184"/>
      <c r="J76" s="184"/>
      <c r="K76" s="184"/>
      <c r="L76" s="109"/>
      <c r="M76" s="109"/>
      <c r="N76" s="109"/>
      <c r="O76" s="109"/>
      <c r="P76" s="109"/>
    </row>
    <row r="78" spans="1:16" x14ac:dyDescent="0.45">
      <c r="A78" s="114" t="str">
        <f>'Historical Financial Statement'!B82</f>
        <v>Interest received</v>
      </c>
      <c r="B78" s="114">
        <f>'Historical Financial Statement'!C82</f>
        <v>266</v>
      </c>
      <c r="C78" s="114">
        <f>'Historical Financial Statement'!D82</f>
        <v>229</v>
      </c>
      <c r="D78" s="114">
        <f>'Historical Financial Statement'!E82</f>
        <v>308</v>
      </c>
      <c r="E78" s="114">
        <f>'Historical Financial Statement'!F82</f>
        <v>359</v>
      </c>
      <c r="F78" s="114">
        <f>'Historical Financial Statement'!G82</f>
        <v>285</v>
      </c>
      <c r="G78" s="114">
        <f>'Historical Financial Statement'!H82</f>
        <v>171</v>
      </c>
      <c r="H78" s="114">
        <f>'Historical Financial Statement'!I82</f>
        <v>273</v>
      </c>
      <c r="I78" s="114">
        <f>'Historical Financial Statement'!J82</f>
        <v>417</v>
      </c>
      <c r="J78" s="114">
        <f>'Historical Financial Statement'!K82</f>
        <v>768</v>
      </c>
      <c r="K78" s="114">
        <f>'Historical Financial Statement'!L82</f>
        <v>431</v>
      </c>
      <c r="L78" s="2">
        <f>L74*B80</f>
        <v>625.14808293845215</v>
      </c>
      <c r="M78" s="2">
        <f t="shared" ref="M78:P78" si="83">M74*C80</f>
        <v>642.26773894153973</v>
      </c>
      <c r="N78" s="2">
        <f t="shared" si="83"/>
        <v>686.13291385434127</v>
      </c>
      <c r="O78" s="2">
        <f t="shared" si="83"/>
        <v>723.33375740851625</v>
      </c>
      <c r="P78" s="2">
        <f t="shared" si="83"/>
        <v>790.57103377856913</v>
      </c>
    </row>
    <row r="79" spans="1:16" x14ac:dyDescent="0.45">
      <c r="A79" s="114" t="s">
        <v>219</v>
      </c>
      <c r="B79" s="184">
        <f>B78/B70</f>
        <v>0.1126164267569856</v>
      </c>
      <c r="C79" s="184">
        <f t="shared" ref="C79:K79" si="84">C78/C70</f>
        <v>9.7075031793132677E-2</v>
      </c>
      <c r="D79" s="184">
        <f t="shared" si="84"/>
        <v>0.12716763005780346</v>
      </c>
      <c r="E79" s="184">
        <f t="shared" si="84"/>
        <v>0.13619119878603944</v>
      </c>
      <c r="F79" s="184">
        <f t="shared" si="84"/>
        <v>8.4244753177652967E-2</v>
      </c>
      <c r="G79" s="184">
        <f t="shared" si="84"/>
        <v>4.3958868894601544E-2</v>
      </c>
      <c r="H79" s="184">
        <f t="shared" si="84"/>
        <v>6.7725130240635076E-2</v>
      </c>
      <c r="I79" s="184">
        <f t="shared" si="84"/>
        <v>0.10939139559286463</v>
      </c>
      <c r="J79" s="184">
        <f t="shared" si="84"/>
        <v>0.18457101658255226</v>
      </c>
      <c r="K79" s="184">
        <f t="shared" si="84"/>
        <v>9.833447410449464E-2</v>
      </c>
      <c r="L79" s="184">
        <f t="shared" ref="L79" si="85">L78/L70</f>
        <v>0.12904788181638571</v>
      </c>
      <c r="M79" s="184">
        <f t="shared" ref="M79" si="86">M78/M70</f>
        <v>0.12659526769925222</v>
      </c>
      <c r="N79" s="184">
        <f t="shared" ref="N79" si="87">N78/N70</f>
        <v>0.12848633336001325</v>
      </c>
      <c r="O79" s="184">
        <f t="shared" ref="O79" si="88">O78/O70</f>
        <v>0.1280429523559074</v>
      </c>
      <c r="P79" s="184">
        <f t="shared" ref="P79" si="89">P78/P70</f>
        <v>0.13340111246937558</v>
      </c>
    </row>
    <row r="80" spans="1:16" x14ac:dyDescent="0.45">
      <c r="A80" s="114" t="s">
        <v>220</v>
      </c>
      <c r="B80" s="184">
        <f>AVERAGE(B79:K79)</f>
        <v>0.10612759259867624</v>
      </c>
      <c r="C80" s="184">
        <f t="shared" ref="C80:F80" si="90">AVERAGE(C79:L79)</f>
        <v>0.10777073810461624</v>
      </c>
      <c r="D80" s="184">
        <f t="shared" si="90"/>
        <v>0.11072276169522818</v>
      </c>
      <c r="E80" s="184">
        <f t="shared" si="90"/>
        <v>0.11085463202544918</v>
      </c>
      <c r="F80" s="184">
        <f t="shared" si="90"/>
        <v>0.11003980738243598</v>
      </c>
      <c r="G80" s="184"/>
      <c r="H80" s="184"/>
      <c r="I80" s="184"/>
      <c r="J80" s="184"/>
      <c r="K80" s="184"/>
      <c r="L80" s="109"/>
      <c r="M80" s="109"/>
      <c r="N80" s="109"/>
      <c r="O80" s="109"/>
      <c r="P80" s="109"/>
    </row>
    <row r="83" spans="1:16" x14ac:dyDescent="0.45">
      <c r="A83" s="114" t="str">
        <f>'Historical Financial Statement'!B83</f>
        <v>Dividends received</v>
      </c>
      <c r="B83" s="114">
        <f>'Historical Financial Statement'!C83</f>
        <v>178</v>
      </c>
      <c r="C83" s="114">
        <f>'Historical Financial Statement'!D83</f>
        <v>190</v>
      </c>
      <c r="D83" s="114">
        <f>'Historical Financial Statement'!E83</f>
        <v>103</v>
      </c>
      <c r="E83" s="114">
        <f>'Historical Financial Statement'!F83</f>
        <v>96</v>
      </c>
      <c r="F83" s="114">
        <f>'Historical Financial Statement'!G83</f>
        <v>102</v>
      </c>
      <c r="G83" s="114">
        <f>'Historical Financial Statement'!H83</f>
        <v>131</v>
      </c>
      <c r="H83" s="114">
        <f>'Historical Financial Statement'!I83</f>
        <v>118</v>
      </c>
      <c r="I83" s="114">
        <f>'Historical Financial Statement'!J83</f>
        <v>176</v>
      </c>
      <c r="J83" s="114">
        <f>'Historical Financial Statement'!K83</f>
        <v>169</v>
      </c>
      <c r="K83" s="114">
        <f>'Historical Financial Statement'!L83</f>
        <v>230</v>
      </c>
      <c r="L83" s="2">
        <f>L74*B85</f>
        <v>234.86147681397699</v>
      </c>
      <c r="M83" s="2">
        <f t="shared" ref="M83:P83" si="91">M74*C85</f>
        <v>233.30462308212196</v>
      </c>
      <c r="N83" s="2">
        <f t="shared" si="91"/>
        <v>229.00658904335216</v>
      </c>
      <c r="O83" s="2">
        <f t="shared" si="91"/>
        <v>242.45911886584003</v>
      </c>
      <c r="P83" s="2">
        <f t="shared" si="91"/>
        <v>247.67477614154711</v>
      </c>
    </row>
    <row r="84" spans="1:16" x14ac:dyDescent="0.45">
      <c r="A84" s="114" t="s">
        <v>219</v>
      </c>
      <c r="B84" s="184">
        <f>B83/B74</f>
        <v>4.7102408044456208E-2</v>
      </c>
      <c r="C84" s="184">
        <f t="shared" ref="C84:K84" si="92">C83/C74</f>
        <v>6.1073609771777566E-2</v>
      </c>
      <c r="D84" s="184">
        <f t="shared" si="92"/>
        <v>3.4927093930145814E-2</v>
      </c>
      <c r="E84" s="184">
        <f t="shared" si="92"/>
        <v>6.4000000000000001E-2</v>
      </c>
      <c r="F84" s="184">
        <f t="shared" si="92"/>
        <v>3.4056761268781301E-2</v>
      </c>
      <c r="G84" s="184">
        <f t="shared" si="92"/>
        <v>3.1780688985929159E-2</v>
      </c>
      <c r="H84" s="184">
        <f t="shared" si="92"/>
        <v>3.1101739588824461E-2</v>
      </c>
      <c r="I84" s="184">
        <f t="shared" si="92"/>
        <v>3.2040779173493537E-2</v>
      </c>
      <c r="J84" s="184">
        <f t="shared" si="92"/>
        <v>3.6723163841807911E-2</v>
      </c>
      <c r="K84" s="184">
        <f t="shared" si="92"/>
        <v>2.5903817997522244E-2</v>
      </c>
      <c r="L84" s="184">
        <f t="shared" ref="L84" si="93">L83/L74</f>
        <v>3.987100626027381E-2</v>
      </c>
      <c r="M84" s="184">
        <f t="shared" ref="M84" si="94">M83/M74</f>
        <v>3.9147866081855567E-2</v>
      </c>
      <c r="N84" s="184">
        <f t="shared" ref="N84" si="95">N83/N74</f>
        <v>3.6955291712863374E-2</v>
      </c>
      <c r="O84" s="184">
        <f t="shared" ref="O84" si="96">O83/O74</f>
        <v>3.7158111491135133E-2</v>
      </c>
      <c r="P84" s="184">
        <f t="shared" ref="P84" si="97">P83/P74</f>
        <v>3.447392264024865E-2</v>
      </c>
    </row>
    <row r="85" spans="1:16" x14ac:dyDescent="0.45">
      <c r="A85" s="114" t="s">
        <v>220</v>
      </c>
      <c r="B85" s="184">
        <f>AVERAGE(B84:K84)</f>
        <v>3.987100626027381E-2</v>
      </c>
      <c r="C85" s="184">
        <f t="shared" ref="C85:F85" si="98">AVERAGE(C84:L84)</f>
        <v>3.9147866081855567E-2</v>
      </c>
      <c r="D85" s="184">
        <f t="shared" si="98"/>
        <v>3.6955291712863374E-2</v>
      </c>
      <c r="E85" s="184">
        <f t="shared" si="98"/>
        <v>3.7158111491135133E-2</v>
      </c>
      <c r="F85" s="184">
        <f t="shared" si="98"/>
        <v>3.447392264024865E-2</v>
      </c>
      <c r="G85" s="184"/>
      <c r="H85" s="184"/>
      <c r="I85" s="184"/>
      <c r="J85" s="184"/>
      <c r="K85" s="184"/>
      <c r="L85" s="109"/>
      <c r="M85" s="109"/>
      <c r="N85" s="109"/>
      <c r="O85" s="109"/>
      <c r="P85" s="109"/>
    </row>
    <row r="87" spans="1:16" x14ac:dyDescent="0.45">
      <c r="A87" s="114" t="str">
        <f>'Historical Financial Statement'!B93</f>
        <v>Interest paid fin</v>
      </c>
      <c r="B87" s="114"/>
      <c r="C87" s="114"/>
      <c r="D87" s="114"/>
      <c r="E87" s="114">
        <f>'Historical Financial Statement'!F93</f>
        <v>-80</v>
      </c>
      <c r="F87" s="114">
        <f>'Historical Financial Statement'!G93</f>
        <v>-86</v>
      </c>
      <c r="G87" s="114">
        <f>'Historical Financial Statement'!H93</f>
        <v>-77</v>
      </c>
      <c r="H87" s="114">
        <f>'Historical Financial Statement'!I93</f>
        <v>-76</v>
      </c>
      <c r="I87" s="114">
        <f>'Historical Financial Statement'!J93</f>
        <v>-98</v>
      </c>
      <c r="J87" s="114">
        <f>'Historical Financial Statement'!K93</f>
        <v>-118</v>
      </c>
      <c r="K87" s="114">
        <f>'Historical Financial Statement'!L93</f>
        <v>-117</v>
      </c>
      <c r="L87" s="114">
        <f>K88*F90</f>
        <v>-108.40055537710805</v>
      </c>
      <c r="M87" s="114">
        <f t="shared" ref="M87:P87" si="99">L88*G90</f>
        <v>-61.79137035301391</v>
      </c>
      <c r="N87" s="114">
        <f t="shared" si="99"/>
        <v>-76.296973714057245</v>
      </c>
      <c r="O87" s="114">
        <f t="shared" si="99"/>
        <v>-86.463384018630435</v>
      </c>
      <c r="P87" s="114">
        <f t="shared" si="99"/>
        <v>-96.377117929927394</v>
      </c>
    </row>
    <row r="88" spans="1:16" x14ac:dyDescent="0.45">
      <c r="A88" s="114" t="str">
        <f>'Historical Financial Statement'!B95</f>
        <v>Financial liabilities</v>
      </c>
      <c r="B88" s="114">
        <f>'Historical Financial Statement'!C95</f>
        <v>0</v>
      </c>
      <c r="C88" s="114">
        <f>'Historical Financial Statement'!D95</f>
        <v>0</v>
      </c>
      <c r="D88" s="114">
        <f>'Historical Financial Statement'!E95</f>
        <v>0</v>
      </c>
      <c r="E88" s="114">
        <f>'Historical Financial Statement'!F95</f>
        <v>-352</v>
      </c>
      <c r="F88" s="114">
        <f>'Historical Financial Statement'!G95</f>
        <v>-383</v>
      </c>
      <c r="G88" s="114">
        <f>'Historical Financial Statement'!H95</f>
        <v>-388</v>
      </c>
      <c r="H88" s="114">
        <f>'Historical Financial Statement'!I95</f>
        <v>-431</v>
      </c>
      <c r="I88" s="114">
        <f>'Historical Financial Statement'!J95</f>
        <v>-394</v>
      </c>
      <c r="J88" s="114">
        <f>'Historical Financial Statement'!K95</f>
        <v>-460</v>
      </c>
      <c r="K88" s="114">
        <f>'Historical Financial Statement'!L95</f>
        <v>-464</v>
      </c>
      <c r="L88" s="114">
        <f>'Historical Financial Statement'!M95</f>
        <v>-267.55555555555554</v>
      </c>
      <c r="M88" s="114">
        <f>'Historical Financial Statement'!N95</f>
        <v>-319.11111111111109</v>
      </c>
      <c r="N88" s="114">
        <f>'Historical Financial Statement'!O95</f>
        <v>-348.83950617283949</v>
      </c>
      <c r="O88" s="114">
        <f>'Historical Financial Statement'!P95</f>
        <v>-384.2962962962963</v>
      </c>
      <c r="P88" s="114">
        <f>'Historical Financial Statement'!Q95</f>
        <v>-383.94513031550076</v>
      </c>
    </row>
    <row r="89" spans="1:16" x14ac:dyDescent="0.45">
      <c r="A89" s="114" t="s">
        <v>219</v>
      </c>
      <c r="E89" s="184"/>
      <c r="F89" s="184">
        <f>F87/E88</f>
        <v>0.24431818181818182</v>
      </c>
      <c r="G89" s="184">
        <f t="shared" ref="G89:J89" si="100">G87/F88</f>
        <v>0.20104438642297651</v>
      </c>
      <c r="H89" s="184">
        <f t="shared" si="100"/>
        <v>0.19587628865979381</v>
      </c>
      <c r="I89" s="184">
        <f t="shared" si="100"/>
        <v>0.22737819025522041</v>
      </c>
      <c r="J89" s="184">
        <f t="shared" si="100"/>
        <v>0.29949238578680204</v>
      </c>
      <c r="K89" s="184"/>
      <c r="L89" s="184">
        <f>L87/K88</f>
        <v>0.23362188658859492</v>
      </c>
      <c r="M89" s="184">
        <f t="shared" ref="M89:O89" si="101">M87/L88</f>
        <v>0.23094781278119819</v>
      </c>
      <c r="N89" s="184">
        <f t="shared" si="101"/>
        <v>0.2390921878226028</v>
      </c>
      <c r="O89" s="184">
        <f t="shared" si="101"/>
        <v>0.24786006885295392</v>
      </c>
      <c r="P89" s="184">
        <f t="shared" ref="P89" si="102">P87/P88</f>
        <v>0.25101794584744713</v>
      </c>
    </row>
    <row r="90" spans="1:16" x14ac:dyDescent="0.45">
      <c r="A90" s="114" t="s">
        <v>220</v>
      </c>
      <c r="E90" s="184"/>
      <c r="F90" s="184">
        <f>AVERAGE(F89:J89)</f>
        <v>0.23362188658859492</v>
      </c>
      <c r="G90" s="184">
        <f>AVERAGE(G89:K89)</f>
        <v>0.23094781278119819</v>
      </c>
      <c r="H90" s="184">
        <f>AVERAGE(H89:L89)</f>
        <v>0.2390921878226028</v>
      </c>
      <c r="I90" s="184">
        <f>AVERAGE(I89:M89)</f>
        <v>0.24786006885295392</v>
      </c>
      <c r="J90" s="184">
        <f>AVERAGE(J89:N89)</f>
        <v>0.2507885682447995</v>
      </c>
      <c r="K90" s="184"/>
      <c r="L90" s="109"/>
      <c r="M90" s="109"/>
      <c r="N90" s="109"/>
      <c r="O90" s="109"/>
      <c r="P90" s="109"/>
    </row>
  </sheetData>
  <mergeCells count="3">
    <mergeCell ref="R25:V25"/>
    <mergeCell ref="R19:V19"/>
    <mergeCell ref="R39:V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928D-D74D-428A-A37C-EFB9E1F54070}">
  <dimension ref="B1:R44"/>
  <sheetViews>
    <sheetView showGridLines="0" topLeftCell="A13" zoomScaleNormal="100" workbookViewId="0">
      <selection activeCell="M34" sqref="M34:Q34"/>
    </sheetView>
  </sheetViews>
  <sheetFormatPr defaultRowHeight="14.25" x14ac:dyDescent="0.45"/>
  <cols>
    <col min="1" max="1" width="1.73046875" customWidth="1"/>
    <col min="2" max="2" width="26.796875" bestFit="1" customWidth="1"/>
    <col min="3" max="12" width="9.265625" style="57" bestFit="1" customWidth="1"/>
    <col min="13" max="17" width="9" style="57"/>
    <col min="18" max="18" width="19.796875" bestFit="1" customWidth="1"/>
  </cols>
  <sheetData>
    <row r="1" spans="2:18" ht="18" x14ac:dyDescent="0.55000000000000004">
      <c r="B1" s="219" t="str">
        <f>"Ratio Analysis for "&amp;'Data Sheet'!B1</f>
        <v>Ratio Analysis for HINDUSTAN UNILEVER LTD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</row>
    <row r="2" spans="2:18" s="44" customFormat="1" ht="15.75" x14ac:dyDescent="0.5">
      <c r="B2" s="43" t="str">
        <f>'Historical Financial Statement'!B2</f>
        <v>Report Date</v>
      </c>
      <c r="C2" s="55">
        <f>'Historical Financial Statement'!C2</f>
        <v>42825</v>
      </c>
      <c r="D2" s="55">
        <f>'Historical Financial Statement'!D2</f>
        <v>43190</v>
      </c>
      <c r="E2" s="55">
        <f>'Historical Financial Statement'!E2</f>
        <v>43555</v>
      </c>
      <c r="F2" s="55">
        <f>'Historical Financial Statement'!F2</f>
        <v>43921</v>
      </c>
      <c r="G2" s="55">
        <f>'Historical Financial Statement'!G2</f>
        <v>44286</v>
      </c>
      <c r="H2" s="55">
        <f>'Historical Financial Statement'!H2</f>
        <v>44651</v>
      </c>
      <c r="I2" s="55">
        <f>'Historical Financial Statement'!I2</f>
        <v>45016</v>
      </c>
      <c r="J2" s="55">
        <f>'Historical Financial Statement'!J2</f>
        <v>45382</v>
      </c>
      <c r="K2" s="55">
        <f>'Historical Financial Statement'!K2</f>
        <v>45747</v>
      </c>
      <c r="L2" s="55">
        <f>'Historical Financial Statement'!L2</f>
        <v>46112</v>
      </c>
      <c r="M2" s="56">
        <f>'Historical Financial Statement'!M2</f>
        <v>46477</v>
      </c>
      <c r="N2" s="56">
        <f>'Historical Financial Statement'!N2</f>
        <v>46842</v>
      </c>
      <c r="O2" s="56">
        <f>'Historical Financial Statement'!O2</f>
        <v>47207</v>
      </c>
      <c r="P2" s="56">
        <f>'Historical Financial Statement'!P2</f>
        <v>47572</v>
      </c>
      <c r="Q2" s="56">
        <f>'Historical Financial Statement'!Q2</f>
        <v>47937</v>
      </c>
    </row>
    <row r="3" spans="2:18" x14ac:dyDescent="0.45">
      <c r="B3" s="2" t="s">
        <v>114</v>
      </c>
      <c r="M3" s="75"/>
      <c r="N3" s="75"/>
      <c r="O3" s="75"/>
      <c r="P3" s="75"/>
      <c r="Q3" s="75"/>
    </row>
    <row r="4" spans="2:18" x14ac:dyDescent="0.45">
      <c r="B4" t="s">
        <v>115</v>
      </c>
      <c r="C4" s="76">
        <f>'Historical Financial Statement'!C9</f>
        <v>0.43653182815929759</v>
      </c>
      <c r="D4" s="76">
        <f>'Historical Financial Statement'!D9</f>
        <v>0.4569152787834902</v>
      </c>
      <c r="E4" s="76">
        <f>'Historical Financial Statement'!E9</f>
        <v>0.46431561322729176</v>
      </c>
      <c r="F4" s="76">
        <f>'Historical Financial Statement'!F9</f>
        <v>0.48250612350135363</v>
      </c>
      <c r="G4" s="76">
        <f>'Historical Financial Statement'!G9</f>
        <v>0.46140968779893904</v>
      </c>
      <c r="H4" s="76">
        <f>'Historical Financial Statement'!H9</f>
        <v>0.44554919617916511</v>
      </c>
      <c r="I4" s="76">
        <f>'Historical Financial Statement'!I9</f>
        <v>0.41356688759637494</v>
      </c>
      <c r="J4" s="76">
        <f>'Historical Financial Statement'!J9</f>
        <v>0.45345548958970711</v>
      </c>
      <c r="K4" s="76">
        <f>'Historical Financial Statement'!K9</f>
        <v>0.44817011864065959</v>
      </c>
      <c r="L4" s="76">
        <f>'Historical Financial Statement'!L9</f>
        <v>0.43890278338039534</v>
      </c>
      <c r="M4" s="77">
        <f>'Historical Financial Statement'!M9</f>
        <v>0.45013230068566751</v>
      </c>
      <c r="N4" s="77">
        <f>'Historical Financial Statement'!N9</f>
        <v>0.45149234793830434</v>
      </c>
      <c r="O4" s="77">
        <f>'Historical Financial Statement'!O9</f>
        <v>0.45095005485378586</v>
      </c>
      <c r="P4" s="77">
        <f>'Historical Financial Statement'!P9</f>
        <v>0.44961349901643527</v>
      </c>
      <c r="Q4" s="77">
        <f>'Historical Financial Statement'!Q9</f>
        <v>0.44632423656794351</v>
      </c>
    </row>
    <row r="5" spans="2:18" x14ac:dyDescent="0.45">
      <c r="B5" t="s">
        <v>116</v>
      </c>
      <c r="C5" s="76">
        <f>'Historical Financial Statement'!C14</f>
        <v>0.1896205707118219</v>
      </c>
      <c r="D5" s="76">
        <f>'Historical Financial Statement'!D14</f>
        <v>0.21074583635047067</v>
      </c>
      <c r="E5" s="76">
        <f>'Historical Financial Statement'!E14</f>
        <v>0.22595751360401842</v>
      </c>
      <c r="F5" s="76">
        <f>'Historical Financial Statement'!F14</f>
        <v>0.24751837050406084</v>
      </c>
      <c r="G5" s="76">
        <f>'Historical Financial Statement'!G14</f>
        <v>0.24619532133228977</v>
      </c>
      <c r="H5" s="76">
        <f>'Historical Financial Statement'!H14</f>
        <v>0.24423260992713847</v>
      </c>
      <c r="I5" s="76">
        <f>'Historical Financial Statement'!I14</f>
        <v>0.23048829974300014</v>
      </c>
      <c r="J5" s="76">
        <f>'Historical Financial Statement'!J14</f>
        <v>0.23466569647257271</v>
      </c>
      <c r="K5" s="76">
        <f>'Historical Financial Statement'!K14</f>
        <v>0.23701320463838058</v>
      </c>
      <c r="L5" s="76">
        <f>'Historical Financial Statement'!L14</f>
        <v>0.23338442920532473</v>
      </c>
      <c r="M5" s="77">
        <f>'Historical Financial Statement'!M14</f>
        <v>0.24550277143411067</v>
      </c>
      <c r="N5" s="77">
        <f>'Historical Financial Statement'!N14</f>
        <v>0.2480744757766537</v>
      </c>
      <c r="O5" s="77">
        <f>'Historical Financial Statement'!O14</f>
        <v>0.24669079465776253</v>
      </c>
      <c r="P5" s="77">
        <f>'Historical Financial Statement'!P14</f>
        <v>0.24243214966159241</v>
      </c>
      <c r="Q5" s="77">
        <f>'Historical Financial Statement'!Q14</f>
        <v>0.2406973470527406</v>
      </c>
    </row>
    <row r="6" spans="2:18" x14ac:dyDescent="0.45">
      <c r="B6" t="s">
        <v>117</v>
      </c>
      <c r="C6" s="76">
        <f>'Historical Financial Statement'!C18</f>
        <v>0.17720288491690184</v>
      </c>
      <c r="D6" s="76">
        <f>'Historical Financial Statement'!D18</f>
        <v>0.19690079652425779</v>
      </c>
      <c r="E6" s="76">
        <f>'Historical Financial Statement'!E18</f>
        <v>0.21224884889074927</v>
      </c>
      <c r="F6" s="76">
        <f>'Historical Financial Statement'!F18</f>
        <v>0.22333376305272656</v>
      </c>
      <c r="G6" s="76">
        <f>'Historical Financial Statement'!G18</f>
        <v>0.22419340812244543</v>
      </c>
      <c r="H6" s="76">
        <f>'Historical Financial Statement'!H18</f>
        <v>0.22421034125759381</v>
      </c>
      <c r="I6" s="76">
        <f>'Historical Financial Statement'!I18</f>
        <v>0.21307317732990666</v>
      </c>
      <c r="J6" s="76">
        <f>'Historical Financial Statement'!J18</f>
        <v>0.21652416940911873</v>
      </c>
      <c r="K6" s="76">
        <f>'Historical Financial Statement'!K18</f>
        <v>0.21821167638581673</v>
      </c>
      <c r="L6" s="76">
        <f>'Historical Financial Statement'!L18</f>
        <v>0.21424768051633725</v>
      </c>
      <c r="M6" s="77">
        <f>'Historical Financial Statement'!M18</f>
        <v>0.2298627477836796</v>
      </c>
      <c r="N6" s="77">
        <f>'Historical Financial Statement'!N18</f>
        <v>0.23291648557208705</v>
      </c>
      <c r="O6" s="77">
        <f>'Historical Financial Statement'!O18</f>
        <v>0.23197247713571603</v>
      </c>
      <c r="P6" s="77">
        <f>'Historical Financial Statement'!P18</f>
        <v>0.22807363279592902</v>
      </c>
      <c r="Q6" s="77">
        <f>'Historical Financial Statement'!Q18</f>
        <v>0.22672267838646662</v>
      </c>
    </row>
    <row r="7" spans="2:18" x14ac:dyDescent="0.45">
      <c r="B7" t="s">
        <v>98</v>
      </c>
      <c r="C7" s="76">
        <f>'Historical Financial Statement'!C27</f>
        <v>0.14079648792724991</v>
      </c>
      <c r="D7" s="76">
        <f>'Historical Financial Statement'!D27</f>
        <v>0.15168718320057928</v>
      </c>
      <c r="E7" s="76">
        <f>'Historical Financial Statement'!E27</f>
        <v>0.15791125994139807</v>
      </c>
      <c r="F7" s="76">
        <f>'Historical Financial Statement'!F27</f>
        <v>0.1737269562975377</v>
      </c>
      <c r="G7" s="76">
        <f>'Historical Financial Statement'!G27</f>
        <v>0.1729280807026698</v>
      </c>
      <c r="H7" s="76">
        <f>'Historical Financial Statement'!H27</f>
        <v>0.17225011232004375</v>
      </c>
      <c r="I7" s="76">
        <f>'Historical Financial Statement'!I27</f>
        <v>0.16843635871770593</v>
      </c>
      <c r="J7" s="76">
        <f>'Historical Financial Statement'!J27</f>
        <v>0.16725925680927417</v>
      </c>
      <c r="K7" s="76">
        <f>'Historical Financial Statement'!K27</f>
        <v>0.17836316106977679</v>
      </c>
      <c r="L7" s="76">
        <f>'Historical Financial Statement'!L27</f>
        <v>0.24892295280354981</v>
      </c>
      <c r="M7" s="77">
        <f>'Historical Financial Statement'!M27</f>
        <v>0.18923194896234111</v>
      </c>
      <c r="N7" s="77">
        <f>'Historical Financial Statement'!N27</f>
        <v>0.19616197910255145</v>
      </c>
      <c r="O7" s="77">
        <f>'Historical Financial Statement'!O27</f>
        <v>0.19983680766275844</v>
      </c>
      <c r="P7" s="77">
        <f>'Historical Financial Statement'!P27</f>
        <v>0.2016296381686068</v>
      </c>
      <c r="Q7" s="77">
        <f>'Historical Financial Statement'!Q27</f>
        <v>0.20470813037536181</v>
      </c>
    </row>
    <row r="8" spans="2:18" x14ac:dyDescent="0.45">
      <c r="B8" t="s">
        <v>118</v>
      </c>
      <c r="C8" s="78">
        <f>'Historical Financial Statement'!C26/'Historical Financial Statement'!C61</f>
        <v>0.30438614331231784</v>
      </c>
      <c r="D8" s="78">
        <f>'Historical Financial Statement'!D26/'Historical Financial Statement'!D61</f>
        <v>0.3053822380313721</v>
      </c>
      <c r="E8" s="78">
        <f>'Historical Financial Statement'!E26/'Historical Financial Statement'!E61</f>
        <v>0.33786733837111671</v>
      </c>
      <c r="F8" s="78">
        <f>'Historical Financial Statement'!F26/'Historical Financial Statement'!F61</f>
        <v>0.34374043464952558</v>
      </c>
      <c r="G8" s="78">
        <f>'Historical Financial Statement'!G26/'Historical Financial Statement'!G61</f>
        <v>0.11677138998179576</v>
      </c>
      <c r="H8" s="78">
        <f>'Historical Financial Statement'!H26/'Historical Financial Statement'!H61</f>
        <v>0.12644650615885397</v>
      </c>
      <c r="I8" s="78">
        <f>'Historical Financial Statement'!I26/'Historical Financial Statement'!I61</f>
        <v>0.13869822485207101</v>
      </c>
      <c r="J8" s="78">
        <f>'Historical Financial Statement'!J26/'Historical Financial Statement'!J61</f>
        <v>0.13122113238881106</v>
      </c>
      <c r="K8" s="78">
        <f>'Historical Financial Statement'!K26/'Historical Financial Statement'!K61</f>
        <v>0.13591613142134767</v>
      </c>
      <c r="L8" s="78">
        <f>'Historical Financial Statement'!L26/'Historical Financial Statement'!L61</f>
        <v>0.19782770382908876</v>
      </c>
      <c r="M8" s="79">
        <f>'Historical Financial Statement'!M26/'Historical Financial Statement'!M61</f>
        <v>0.1690578712538241</v>
      </c>
      <c r="N8" s="79">
        <f>'Historical Financial Statement'!N26/'Historical Financial Statement'!N61</f>
        <v>0.1839311445786829</v>
      </c>
      <c r="O8" s="79">
        <f>'Historical Financial Statement'!O26/'Historical Financial Statement'!O61</f>
        <v>0.19674136133741099</v>
      </c>
      <c r="P8" s="79">
        <f>'Historical Financial Statement'!P26/'Historical Financial Statement'!P61</f>
        <v>0.20860878599526461</v>
      </c>
      <c r="Q8" s="79">
        <f>'Historical Financial Statement'!Q26/'Historical Financial Statement'!Q61</f>
        <v>0.22291617194928925</v>
      </c>
      <c r="R8" s="57"/>
    </row>
    <row r="9" spans="2:18" x14ac:dyDescent="0.45">
      <c r="B9" t="s">
        <v>101</v>
      </c>
      <c r="C9" s="78">
        <f>'Historical Financial Statement'!C26/SUM('Historical Financial Statement'!C31:C32)</f>
        <v>0.69183359013867485</v>
      </c>
      <c r="D9" s="78">
        <f>'Historical Financial Statement'!D26/SUM('Historical Financial Statement'!D31:D32)</f>
        <v>0.74021201413427562</v>
      </c>
      <c r="E9" s="78">
        <f>'Historical Financial Statement'!E26/SUM('Historical Financial Statement'!E31:E32)</f>
        <v>0.78809244026635328</v>
      </c>
      <c r="F9" s="78">
        <f>'Historical Financial Statement'!F26/SUM('Historical Financial Statement'!F31:F32)</f>
        <v>0.83899887934254758</v>
      </c>
      <c r="G9" s="78">
        <f>'Historical Financial Statement'!G26/SUM('Historical Financial Statement'!G31:G32)</f>
        <v>0.16768562634397269</v>
      </c>
      <c r="H9" s="78">
        <f>'Historical Financial Statement'!H26/SUM('Historical Financial Statement'!H31:H32)</f>
        <v>0.18084495488105004</v>
      </c>
      <c r="I9" s="78">
        <f>'Historical Financial Statement'!I26/SUM('Historical Financial Statement'!I31:I32)</f>
        <v>0.19836323450349455</v>
      </c>
      <c r="J9" s="78">
        <f>'Historical Financial Statement'!J26/SUM('Historical Financial Statement'!J31:J32)</f>
        <v>0.19841877072175465</v>
      </c>
      <c r="K9" s="78">
        <f>'Historical Financial Statement'!K26/SUM('Historical Financial Statement'!K31:K32)</f>
        <v>0.21654832868797427</v>
      </c>
      <c r="L9" s="78">
        <f>'Historical Financial Statement'!L26/SUM('Historical Financial Statement'!L31:L32)</f>
        <v>0.31341039757836786</v>
      </c>
      <c r="M9" s="79">
        <f>'Historical Financial Statement'!M26/SUM('Historical Financial Statement'!M31:M32)</f>
        <v>0.25833888216704526</v>
      </c>
      <c r="N9" s="79">
        <f>'Historical Financial Statement'!N26/SUM('Historical Financial Statement'!N31:N32)</f>
        <v>0.27224247293717807</v>
      </c>
      <c r="O9" s="79">
        <f>'Historical Financial Statement'!O26/SUM('Historical Financial Statement'!O31:O32)</f>
        <v>0.28190336321516268</v>
      </c>
      <c r="P9" s="79">
        <f>'Historical Financial Statement'!P26/SUM('Historical Financial Statement'!P31:P32)</f>
        <v>0.28927082475843696</v>
      </c>
      <c r="Q9" s="79">
        <f>'Historical Financial Statement'!Q26/SUM('Historical Financial Statement'!Q31:Q32)</f>
        <v>0.29886044321659028</v>
      </c>
    </row>
    <row r="10" spans="2:18" x14ac:dyDescent="0.45"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1"/>
      <c r="N10" s="81"/>
      <c r="O10" s="81"/>
      <c r="P10" s="81"/>
      <c r="Q10" s="81"/>
    </row>
    <row r="11" spans="2:18" x14ac:dyDescent="0.45">
      <c r="B11" s="2" t="s">
        <v>113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1"/>
      <c r="N11" s="81"/>
      <c r="O11" s="81"/>
      <c r="P11" s="81"/>
      <c r="Q11" s="81"/>
    </row>
    <row r="12" spans="2:18" x14ac:dyDescent="0.45">
      <c r="B12" t="s">
        <v>119</v>
      </c>
      <c r="C12" s="82">
        <f>'Historical Financial Statement'!C41/SUM('Historical Financial Statement'!C31:C32)</f>
        <v>0</v>
      </c>
      <c r="D12" s="82">
        <f>'Historical Financial Statement'!D41/SUM('Historical Financial Statement'!D31:D32)</f>
        <v>0</v>
      </c>
      <c r="E12" s="82">
        <f>'Historical Financial Statement'!E41/SUM('Historical Financial Statement'!E31:E32)</f>
        <v>0</v>
      </c>
      <c r="F12" s="82">
        <f>'Historical Financial Statement'!F41/SUM('Historical Financial Statement'!F31:F32)</f>
        <v>0</v>
      </c>
      <c r="G12" s="82">
        <f>'Historical Financial Statement'!G41/SUM('Historical Financial Statement'!G31:G32)</f>
        <v>1.9880254669646245E-2</v>
      </c>
      <c r="H12" s="82">
        <f>'Historical Financial Statement'!H41/SUM('Historical Financial Statement'!H31:H32)</f>
        <v>1.9913863822805578E-2</v>
      </c>
      <c r="I12" s="82">
        <f>'Historical Financial Statement'!I41/SUM('Historical Financial Statement'!I31:I32)</f>
        <v>2.0688556579916768E-2</v>
      </c>
      <c r="J12" s="82">
        <f>'Historical Financial Statement'!J41/SUM('Historical Financial Statement'!J31:J32)</f>
        <v>2.6955447001353657E-2</v>
      </c>
      <c r="K12" s="82">
        <f>'Historical Financial Statement'!K41/SUM('Historical Financial Statement'!K31:K32)</f>
        <v>3.1269708868227782E-2</v>
      </c>
      <c r="L12" s="82">
        <f>'Historical Financial Statement'!L41/SUM('Historical Financial Statement'!L31:L32)</f>
        <v>2.6918310545883024E-2</v>
      </c>
      <c r="M12" s="83">
        <f>'Historical Financial Statement'!M41/SUM('Historical Financial Statement'!M31:M32)</f>
        <v>2.5962088325380044E-2</v>
      </c>
      <c r="N12" s="83">
        <f>'Historical Financial Statement'!N41/SUM('Historical Financial Statement'!N31:N32)</f>
        <v>2.5039249756346003E-2</v>
      </c>
      <c r="O12" s="83">
        <f>'Historical Financial Statement'!O41/SUM('Historical Financial Statement'!O31:O32)</f>
        <v>2.4206213579416894E-2</v>
      </c>
      <c r="P12" s="83">
        <f>'Historical Financial Statement'!P41/SUM('Historical Financial Statement'!P31:P32)</f>
        <v>2.3470057820124953E-2</v>
      </c>
      <c r="Q12" s="83">
        <f>'Historical Financial Statement'!Q41/SUM('Historical Financial Statement'!Q31:Q32)</f>
        <v>2.2819407312474987E-2</v>
      </c>
    </row>
    <row r="13" spans="2:18" x14ac:dyDescent="0.45">
      <c r="B13" t="s">
        <v>120</v>
      </c>
      <c r="C13" s="82">
        <f>'Historical Financial Statement'!C41/'Historical Financial Statement'!C61</f>
        <v>0</v>
      </c>
      <c r="D13" s="82">
        <f>'Historical Financial Statement'!D41/'Historical Financial Statement'!D61</f>
        <v>0</v>
      </c>
      <c r="E13" s="82">
        <f>'Historical Financial Statement'!E41/'Historical Financial Statement'!E61</f>
        <v>0</v>
      </c>
      <c r="F13" s="82">
        <f>'Historical Financial Statement'!F41/'Historical Financial Statement'!F61</f>
        <v>0</v>
      </c>
      <c r="G13" s="82">
        <f>'Historical Financial Statement'!G41/'Historical Financial Statement'!G61</f>
        <v>1.3844030771037642E-2</v>
      </c>
      <c r="H13" s="82">
        <f>'Historical Financial Statement'!H41/'Historical Financial Statement'!H61</f>
        <v>1.3923742059451941E-2</v>
      </c>
      <c r="I13" s="82">
        <f>'Historical Financial Statement'!I41/'Historical Financial Statement'!I61</f>
        <v>1.4465715280194918E-2</v>
      </c>
      <c r="J13" s="82">
        <f>'Historical Financial Statement'!J41/'Historical Financial Statement'!J61</f>
        <v>1.7826560797135294E-2</v>
      </c>
      <c r="K13" s="82">
        <f>'Historical Financial Statement'!K41/'Historical Financial Statement'!K61</f>
        <v>1.9626371100583555E-2</v>
      </c>
      <c r="L13" s="82">
        <f>'Historical Financial Statement'!L41/'Historical Financial Statement'!L61</f>
        <v>1.6991100510374189E-2</v>
      </c>
      <c r="M13" s="83">
        <f>'Historical Financial Statement'!M41/'Historical Financial Statement'!M61</f>
        <v>1.6989681726479189E-2</v>
      </c>
      <c r="N13" s="83">
        <f>'Historical Financial Statement'!N41/'Historical Financial Statement'!N61</f>
        <v>1.6916896975656622E-2</v>
      </c>
      <c r="O13" s="83">
        <f>'Historical Financial Statement'!O41/'Historical Financial Statement'!O61</f>
        <v>1.6893602680446672E-2</v>
      </c>
      <c r="P13" s="83">
        <f>'Historical Financial Statement'!P41/'Historical Financial Statement'!P61</f>
        <v>1.6925523938280031E-2</v>
      </c>
      <c r="Q13" s="83">
        <f>'Historical Financial Statement'!Q41/'Historical Financial Statement'!Q61</f>
        <v>1.7020703273741798E-2</v>
      </c>
    </row>
    <row r="14" spans="2:18" x14ac:dyDescent="0.45">
      <c r="B14" t="s">
        <v>121</v>
      </c>
      <c r="C14" s="82">
        <f>'Historical Financial Statement'!C17/'Historical Financial Statement'!C20</f>
        <v>256.86363636363637</v>
      </c>
      <c r="D14" s="82">
        <f>'Historical Financial Statement'!D17/'Historical Financial Statement'!D20</f>
        <v>339.9</v>
      </c>
      <c r="E14" s="82">
        <f>'Historical Financial Statement'!E17/'Historical Financial Statement'!E20</f>
        <v>289.75</v>
      </c>
      <c r="F14" s="82">
        <f>'Historical Financial Statement'!F17/'Historical Financial Statement'!F20</f>
        <v>81.716981132075475</v>
      </c>
      <c r="G14" s="82">
        <f>'Historical Financial Statement'!G17/'Historical Financial Statement'!G20</f>
        <v>95.481481481481481</v>
      </c>
      <c r="H14" s="82">
        <f>'Historical Financial Statement'!H17/'Historical Financial Statement'!H20</f>
        <v>117.12244897959184</v>
      </c>
      <c r="I14" s="82">
        <f>'Historical Financial Statement'!I17/'Historical Financial Statement'!I20</f>
        <v>124.77227722772277</v>
      </c>
      <c r="J14" s="82">
        <f>'Historical Financial Statement'!J17/'Historical Financial Statement'!J20</f>
        <v>43.354304635761586</v>
      </c>
      <c r="K14" s="82">
        <f>'Historical Financial Statement'!K17/'Historical Financial Statement'!K20</f>
        <v>37.205714285714286</v>
      </c>
      <c r="L14" s="82">
        <f>'Historical Financial Statement'!L17/'Historical Financial Statement'!L20</f>
        <v>36.578512396694215</v>
      </c>
      <c r="M14" s="83">
        <f>'Historical Financial Statement'!M17/'Historical Financial Statement'!M20</f>
        <v>70.128858008753312</v>
      </c>
      <c r="N14" s="83">
        <f>'Historical Financial Statement'!N17/'Historical Financial Statement'!N20</f>
        <v>70.935184932765225</v>
      </c>
      <c r="O14" s="83">
        <f>'Historical Financial Statement'!O17/'Historical Financial Statement'!O20</f>
        <v>69.147232031522165</v>
      </c>
      <c r="P14" s="83">
        <f>'Historical Financial Statement'!P17/'Historical Financial Statement'!P20</f>
        <v>65.796625551409548</v>
      </c>
      <c r="Q14" s="83">
        <f>'Historical Financial Statement'!Q17/'Historical Financial Statement'!Q20</f>
        <v>68.885230257044498</v>
      </c>
    </row>
    <row r="15" spans="2:18" x14ac:dyDescent="0.45"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3"/>
      <c r="N15" s="83"/>
      <c r="O15" s="83"/>
      <c r="P15" s="83"/>
      <c r="Q15" s="83"/>
    </row>
    <row r="16" spans="2:18" x14ac:dyDescent="0.45">
      <c r="B16" s="2" t="s">
        <v>112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3"/>
      <c r="N16" s="83"/>
      <c r="O16" s="83"/>
      <c r="P16" s="83"/>
      <c r="Q16" s="83"/>
    </row>
    <row r="17" spans="2:18" x14ac:dyDescent="0.45">
      <c r="B17" t="s">
        <v>99</v>
      </c>
      <c r="C17" s="82">
        <f>'Historical Financial Statement'!C5/'Historical Financial Statement'!C61</f>
        <v>2.1618873296725645</v>
      </c>
      <c r="D17" s="82">
        <f>'Historical Financial Statement'!D5/'Historical Financial Statement'!D61</f>
        <v>2.0132369234357688</v>
      </c>
      <c r="E17" s="82">
        <f>'Historical Financial Statement'!E5/'Historical Financial Statement'!E61</f>
        <v>2.1396025748670584</v>
      </c>
      <c r="F17" s="82">
        <f>'Historical Financial Statement'!F5/'Historical Financial Statement'!F61</f>
        <v>1.9786246301397816</v>
      </c>
      <c r="G17" s="82">
        <f>'Historical Financial Statement'!G5/'Historical Financial Statement'!G61</f>
        <v>0.67525985084268014</v>
      </c>
      <c r="H17" s="82">
        <f>'Historical Financial Statement'!H5/'Historical Financial Statement'!H61</f>
        <v>0.73408663980383437</v>
      </c>
      <c r="I17" s="82">
        <f>'Historical Financial Statement'!I5/'Historical Financial Statement'!I61</f>
        <v>0.82344587539157676</v>
      </c>
      <c r="J17" s="82">
        <f>'Historical Financial Statement'!J5/'Historical Financial Statement'!J61</f>
        <v>0.78453733976854012</v>
      </c>
      <c r="K17" s="82">
        <f>'Historical Financial Statement'!K5/'Historical Financial Statement'!K61</f>
        <v>0.76201907729240359</v>
      </c>
      <c r="L17" s="82">
        <f>'Historical Financial Statement'!L5/'Historical Financial Statement'!L61</f>
        <v>0.79473468236259648</v>
      </c>
      <c r="M17" s="83">
        <f>'Historical Financial Statement'!M5/'Historical Financial Statement'!M61</f>
        <v>0.89338968488597115</v>
      </c>
      <c r="N17" s="83">
        <f>'Historical Financial Statement'!N5/'Historical Financial Statement'!N61</f>
        <v>0.93764931114671113</v>
      </c>
      <c r="O17" s="83">
        <f>'Historical Financial Statement'!O5/'Historical Financial Statement'!O61</f>
        <v>0.98451012923219194</v>
      </c>
      <c r="P17" s="83">
        <f>'Historical Financial Statement'!P5/'Historical Financial Statement'!P61</f>
        <v>1.034613700099098</v>
      </c>
      <c r="Q17" s="83">
        <f>'Historical Financial Statement'!Q5/'Historical Financial Statement'!Q61</f>
        <v>1.0889463527439793</v>
      </c>
    </row>
    <row r="18" spans="2:18" x14ac:dyDescent="0.45">
      <c r="B18" t="s">
        <v>122</v>
      </c>
      <c r="C18" s="82">
        <f>'Historical Financial Statement'!C7/'Historical Financial Statement'!C57</f>
        <v>7.6075359864521594</v>
      </c>
      <c r="D18" s="82">
        <f>'Historical Financial Statement'!D7/'Historical Financial Statement'!D57</f>
        <v>7.9482831708350998</v>
      </c>
      <c r="E18" s="82">
        <f>'Historical Financial Statement'!E7/'Historical Financial Statement'!E57</f>
        <v>8.4541701073492987</v>
      </c>
      <c r="F18" s="82">
        <f>'Historical Financial Statement'!F7/'Historical Financial Statement'!F57</f>
        <v>7.6141881638846733</v>
      </c>
      <c r="G18" s="82">
        <f>'Historical Financial Statement'!G7/'Historical Financial Statement'!G57</f>
        <v>7.3227904227017442</v>
      </c>
      <c r="H18" s="82">
        <f>'Historical Financial Statement'!H7/'Historical Financial Statement'!H57</f>
        <v>7.2966580976863753</v>
      </c>
      <c r="I18" s="82">
        <f>'Historical Financial Statement'!I7/'Historical Financial Statement'!I57</f>
        <v>8.6043165467625897</v>
      </c>
      <c r="J18" s="82">
        <f>'Historical Financial Statement'!J7/'Historical Financial Statement'!J57</f>
        <v>8.6697271773347317</v>
      </c>
      <c r="K18" s="82">
        <f>'Historical Financial Statement'!K7/'Historical Financial Statement'!K57</f>
        <v>7.9142033165104539</v>
      </c>
      <c r="L18" s="82">
        <f>'Historical Financial Statement'!L7/'Historical Financial Statement'!L57</f>
        <v>7.9338352726443073</v>
      </c>
      <c r="M18" s="83">
        <f>'Historical Financial Statement'!M7/'Historical Financial Statement'!M57</f>
        <v>7.9085662026495704</v>
      </c>
      <c r="N18" s="83">
        <f>'Historical Financial Statement'!N7/'Historical Financial Statement'!N57</f>
        <v>7.9399847239990065</v>
      </c>
      <c r="O18" s="83">
        <f>'Historical Financial Statement'!O7/'Historical Financial Statement'!O57</f>
        <v>7.9391558322599804</v>
      </c>
      <c r="P18" s="83">
        <f>'Historical Financial Statement'!P7/'Historical Financial Statement'!P57</f>
        <v>7.8910846297803667</v>
      </c>
      <c r="Q18" s="83">
        <f>'Historical Financial Statement'!Q7/'Historical Financial Statement'!Q57</f>
        <v>7.9198859726012847</v>
      </c>
    </row>
    <row r="19" spans="2:18" x14ac:dyDescent="0.45">
      <c r="B19" t="s">
        <v>123</v>
      </c>
      <c r="C19" s="82">
        <f>'Historical Financial Statement'!C5/'Historical Financial Statement'!C56</f>
        <v>34.364224137931032</v>
      </c>
      <c r="D19" s="82">
        <f>'Historical Financial Statement'!D5/'Historical Financial Statement'!D56</f>
        <v>30.100261551874453</v>
      </c>
      <c r="E19" s="82">
        <f>'Historical Financial Statement'!E5/'Historical Financial Statement'!E56</f>
        <v>22.847579199043633</v>
      </c>
      <c r="F19" s="82">
        <f>'Historical Financial Statement'!F5/'Historical Financial Statement'!F56</f>
        <v>37.079349904397702</v>
      </c>
      <c r="G19" s="82">
        <f>'Historical Financial Statement'!G5/'Historical Financial Statement'!G56</f>
        <v>27.910194174757283</v>
      </c>
      <c r="H19" s="82">
        <f>'Historical Financial Statement'!H5/'Historical Financial Statement'!H56</f>
        <v>26.497412008281575</v>
      </c>
      <c r="I19" s="82">
        <f>'Historical Financial Statement'!I5/'Historical Financial Statement'!I56</f>
        <v>21.624862888482632</v>
      </c>
      <c r="J19" s="82">
        <f>'Historical Financial Statement'!J5/'Historical Financial Statement'!J56</f>
        <v>22.479182156133827</v>
      </c>
      <c r="K19" s="82">
        <f>'Historical Financial Statement'!K5/'Historical Financial Statement'!K56</f>
        <v>17.297391304347826</v>
      </c>
      <c r="L19" s="82">
        <f>'Historical Financial Statement'!L5/'Historical Financial Statement'!L56</f>
        <v>20.406651300625619</v>
      </c>
      <c r="M19" s="83">
        <f>'Historical Financial Statement'!M5/'Historical Financial Statement'!M56</f>
        <v>24.741876552730908</v>
      </c>
      <c r="N19" s="83">
        <f>'Historical Financial Statement'!N5/'Historical Financial Statement'!N56</f>
        <v>24.067948444628325</v>
      </c>
      <c r="O19" s="83">
        <f>'Historical Financial Statement'!O5/'Historical Financial Statement'!O56</f>
        <v>23.595085628932491</v>
      </c>
      <c r="P19" s="83">
        <f>'Historical Financial Statement'!P5/'Historical Financial Statement'!P56</f>
        <v>23.672535288635462</v>
      </c>
      <c r="Q19" s="83">
        <f>'Historical Financial Statement'!Q5/'Historical Financial Statement'!Q56</f>
        <v>22.846473255846753</v>
      </c>
    </row>
    <row r="20" spans="2:18" x14ac:dyDescent="0.45">
      <c r="B20" t="s">
        <v>124</v>
      </c>
      <c r="C20" s="82">
        <f>'Historical Financial Statement'!C7/'Historical Financial Statement'!C36</f>
        <v>2.991841491841492</v>
      </c>
      <c r="D20" s="82">
        <f>'Historical Financial Statement'!D7/'Historical Financial Statement'!D36</f>
        <v>2.6736061599885925</v>
      </c>
      <c r="E20" s="82">
        <f>'Historical Financial Statement'!E7/'Historical Financial Statement'!E36</f>
        <v>2.8961810466760962</v>
      </c>
      <c r="F20" s="82">
        <f>'Historical Financial Statement'!F7/'Historical Financial Statement'!F36</f>
        <v>2.7126638734964184</v>
      </c>
      <c r="G20" s="82">
        <f>'Historical Financial Statement'!G7/'Historical Financial Statement'!G36</f>
        <v>2.8715660136779877</v>
      </c>
      <c r="H20" s="82">
        <f>'Historical Financial Statement'!H7/'Historical Financial Statement'!H36</f>
        <v>3.2021660649819497</v>
      </c>
      <c r="I20" s="82">
        <f>'Historical Financial Statement'!I7/'Historical Financial Statement'!I36</f>
        <v>3.6933233947396444</v>
      </c>
      <c r="J20" s="82">
        <f>'Historical Financial Statement'!J7/'Historical Financial Statement'!J36</f>
        <v>3.2567008277493104</v>
      </c>
      <c r="K20" s="82">
        <f>'Historical Financial Statement'!K7/'Historical Financial Statement'!K36</f>
        <v>2.9942716857610474</v>
      </c>
      <c r="L20" s="82">
        <f>'Historical Financial Statement'!L7/'Historical Financial Statement'!L36</f>
        <v>2.6929450940912258</v>
      </c>
      <c r="M20" s="83">
        <f>'Historical Financial Statement'!M7/'Historical Financial Statement'!M36</f>
        <v>2.9710150895204555</v>
      </c>
      <c r="N20" s="83">
        <f>'Historical Financial Statement'!N7/'Historical Financial Statement'!N36</f>
        <v>2.9689483853280088</v>
      </c>
      <c r="O20" s="83">
        <f>'Historical Financial Statement'!O7/'Historical Financial Statement'!O36</f>
        <v>3.0021114702887299</v>
      </c>
      <c r="P20" s="83">
        <f>'Historical Financial Statement'!P7/'Historical Financial Statement'!P36</f>
        <v>3.0131322722640812</v>
      </c>
      <c r="Q20" s="83">
        <f>'Historical Financial Statement'!Q7/'Historical Financial Statement'!Q36</f>
        <v>3.0468810712083996</v>
      </c>
    </row>
    <row r="21" spans="2:18" x14ac:dyDescent="0.45">
      <c r="B21" t="s">
        <v>125</v>
      </c>
      <c r="C21" s="82">
        <f>'Historical Financial Statement'!C5/'Historical Financial Statement'!C49</f>
        <v>7.9249502982107352</v>
      </c>
      <c r="D21" s="82">
        <f>'Historical Financial Statement'!D5/'Historical Financial Statement'!D49</f>
        <v>8.3353452438435536</v>
      </c>
      <c r="E21" s="82">
        <f>'Historical Financial Statement'!E5/'Historical Financial Statement'!E49</f>
        <v>8.8012894312687084</v>
      </c>
      <c r="F21" s="82">
        <f>'Historical Financial Statement'!F5/'Historical Financial Statement'!F49</f>
        <v>7.6710838607594933</v>
      </c>
      <c r="G21" s="82">
        <f>'Historical Financial Statement'!G5/'Historical Financial Statement'!G49</f>
        <v>0.90140513845611148</v>
      </c>
      <c r="H21" s="82">
        <f>'Historical Financial Statement'!H5/'Historical Financial Statement'!H49</f>
        <v>1.0031155700121488</v>
      </c>
      <c r="I21" s="82">
        <f>'Historical Financial Statement'!I5/'Historical Financial Statement'!I49</f>
        <v>1.1505495574360471</v>
      </c>
      <c r="J21" s="82">
        <f>'Historical Financial Statement'!J5/'Historical Financial Statement'!J49</f>
        <v>1.1544512113633327</v>
      </c>
      <c r="K21" s="82">
        <f>'Historical Financial Statement'!K5/'Historical Financial Statement'!K49</f>
        <v>1.1279414822235243</v>
      </c>
      <c r="L21" s="82">
        <f>'Historical Financial Statement'!L5/'Historical Financial Statement'!L49</f>
        <v>1.1823003109559511</v>
      </c>
      <c r="M21" s="83">
        <f>'Historical Financial Statement'!M5/'Historical Financial Statement'!M49</f>
        <v>1.3075533732624196</v>
      </c>
      <c r="N21" s="83">
        <f>'Historical Financial Statement'!N5/'Historical Financial Statement'!N49</f>
        <v>1.3548548301984227</v>
      </c>
      <c r="O21" s="83">
        <f>'Historical Financial Statement'!O5/'Historical Financial Statement'!O49</f>
        <v>1.3981223174091637</v>
      </c>
      <c r="P21" s="83">
        <f>'Historical Financial Statement'!P5/'Historical Financial Statement'!P49</f>
        <v>1.4359469940363156</v>
      </c>
      <c r="Q21" s="83">
        <f>'Historical Financial Statement'!Q5/'Historical Financial Statement'!Q49</f>
        <v>1.4680241803731813</v>
      </c>
    </row>
    <row r="22" spans="2:18" x14ac:dyDescent="0.45"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3"/>
      <c r="N22" s="83"/>
      <c r="O22" s="83"/>
      <c r="P22" s="83"/>
      <c r="Q22" s="83"/>
    </row>
    <row r="23" spans="2:18" x14ac:dyDescent="0.45">
      <c r="B23" s="2" t="s">
        <v>111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3"/>
      <c r="N23" s="83"/>
      <c r="O23" s="83"/>
      <c r="P23" s="83"/>
      <c r="Q23" s="83"/>
    </row>
    <row r="24" spans="2:18" x14ac:dyDescent="0.45">
      <c r="B24" t="s">
        <v>126</v>
      </c>
      <c r="C24" s="78">
        <f>'Historical Financial Statement'!C59/'Historical Financial Statement'!C38</f>
        <v>0.81649111257406193</v>
      </c>
      <c r="D24" s="78">
        <f>'Historical Financial Statement'!D59/'Historical Financial Statement'!D38</f>
        <v>0.97325976230899836</v>
      </c>
      <c r="E24" s="78">
        <f>'Historical Financial Statement'!E59/'Historical Financial Statement'!E38</f>
        <v>1.0948093965395977</v>
      </c>
      <c r="F24" s="78">
        <f>'Historical Financial Statement'!F59/'Historical Financial Statement'!F38</f>
        <v>1.1517277902820071</v>
      </c>
      <c r="G24" s="78">
        <f>'Historical Financial Statement'!G59/'Historical Financial Statement'!G38</f>
        <v>1.0724770642201835</v>
      </c>
      <c r="H24" s="78">
        <f>'Historical Financial Statement'!H59/'Historical Financial Statement'!H38</f>
        <v>1.0515762504177342</v>
      </c>
      <c r="I24" s="78">
        <f>'Historical Financial Statement'!I59/'Historical Financial Statement'!I38</f>
        <v>1.1805423657275509</v>
      </c>
      <c r="J24" s="78">
        <f>'Historical Financial Statement'!J59/'Historical Financial Statement'!J38</f>
        <v>1.3400410276448178</v>
      </c>
      <c r="K24" s="78">
        <f>'Historical Financial Statement'!K59/'Historical Financial Statement'!K38</f>
        <v>1.3551554828150574</v>
      </c>
      <c r="L24" s="78">
        <f>'Historical Financial Statement'!L59/'Historical Financial Statement'!L38</f>
        <v>0.79377371640981953</v>
      </c>
      <c r="M24" s="79">
        <f>'Historical Financial Statement'!M59/'Historical Financial Statement'!M38</f>
        <v>0.84242264124874611</v>
      </c>
      <c r="N24" s="79">
        <f>'Historical Financial Statement'!N59/'Historical Financial Statement'!N38</f>
        <v>0.71859053914120841</v>
      </c>
      <c r="O24" s="79">
        <f>'Historical Financial Statement'!O59/'Historical Financial Statement'!O38</f>
        <v>0.60466500069463192</v>
      </c>
      <c r="P24" s="79">
        <f>'Historical Financial Statement'!P59/'Historical Financial Statement'!P38</f>
        <v>0.45083567226914473</v>
      </c>
      <c r="Q24" s="79">
        <f>'Historical Financial Statement'!Q59/'Historical Financial Statement'!Q38</f>
        <v>0.28711999349922257</v>
      </c>
      <c r="R24" s="57"/>
    </row>
    <row r="25" spans="2:18" x14ac:dyDescent="0.45">
      <c r="B25" t="s">
        <v>127</v>
      </c>
      <c r="C25" s="78">
        <f>('Historical Financial Statement'!C59-'Historical Financial Statement'!C57)/'Historical Financial Statement'!C38</f>
        <v>0.42774851876234365</v>
      </c>
      <c r="D25" s="78">
        <f>('Historical Financial Statement'!D59-'Historical Financial Statement'!D57)/'Historical Financial Statement'!D38</f>
        <v>0.63950198075834752</v>
      </c>
      <c r="E25" s="78">
        <f>('Historical Financial Statement'!E59-'Historical Financial Statement'!E57)/'Historical Financial Statement'!E38</f>
        <v>0.75411450274300185</v>
      </c>
      <c r="F25" s="78">
        <f>('Historical Financial Statement'!F59-'Historical Financial Statement'!F57)/'Historical Financial Statement'!F38</f>
        <v>0.80272739308883889</v>
      </c>
      <c r="G25" s="78">
        <f>('Historical Financial Statement'!G59-'Historical Financial Statement'!G57)/'Historical Financial Statement'!G38</f>
        <v>0.68451834862385319</v>
      </c>
      <c r="H25" s="78">
        <f>('Historical Financial Statement'!H59-'Historical Financial Statement'!H57)/'Historical Financial Statement'!H38</f>
        <v>0.61824663027737548</v>
      </c>
      <c r="I25" s="78">
        <f>('Historical Financial Statement'!I59-'Historical Financial Statement'!I57)/'Historical Financial Statement'!I38</f>
        <v>0.75519679223382929</v>
      </c>
      <c r="J25" s="78">
        <f>('Historical Financial Statement'!J59-'Historical Financial Statement'!J57)/'Historical Financial Statement'!J38</f>
        <v>0.96766630848881507</v>
      </c>
      <c r="K25" s="78">
        <f>('Historical Financial Statement'!K59-'Historical Financial Statement'!K57)/'Historical Financial Statement'!K38</f>
        <v>0.97681396617566829</v>
      </c>
      <c r="L25" s="78">
        <f>('Historical Financial Statement'!L59-'Historical Financial Statement'!L57)/'Historical Financial Statement'!L38</f>
        <v>0.45434833113916206</v>
      </c>
      <c r="M25" s="79">
        <f>('Historical Financial Statement'!M59-'Historical Financial Statement'!M57)/'Historical Financial Statement'!M38</f>
        <v>0.46995884336493177</v>
      </c>
      <c r="N25" s="79">
        <f>('Historical Financial Statement'!N59-'Historical Financial Statement'!N57)/'Historical Financial Statement'!N38</f>
        <v>0.3477445564093089</v>
      </c>
      <c r="O25" s="79">
        <f>('Historical Financial Statement'!O59-'Historical Financial Statement'!O57)/'Historical Financial Statement'!O38</f>
        <v>0.22965676087677633</v>
      </c>
      <c r="P25" s="79">
        <f>('Historical Financial Statement'!P59-'Historical Financial Statement'!P57)/'Historical Financial Statement'!P38</f>
        <v>7.2265963426247304E-2</v>
      </c>
      <c r="Q25" s="79">
        <f>('Historical Financial Statement'!Q59-'Historical Financial Statement'!Q57)/'Historical Financial Statement'!Q38</f>
        <v>-9.4779333012636774E-2</v>
      </c>
      <c r="R25" s="171"/>
    </row>
    <row r="26" spans="2:18" x14ac:dyDescent="0.45">
      <c r="B26" t="s">
        <v>128</v>
      </c>
      <c r="C26" s="78">
        <f>'Historical Financial Statement'!C58/'Historical Financial Statement'!C38</f>
        <v>0.2750164581961817</v>
      </c>
      <c r="D26" s="78">
        <f>'Historical Financial Statement'!D58/'Historical Financial Statement'!D38</f>
        <v>0.4772212790039615</v>
      </c>
      <c r="E26" s="78">
        <f>'Historical Financial Statement'!E58/'Historical Financial Statement'!E38</f>
        <v>0.51877901251934166</v>
      </c>
      <c r="F26" s="78">
        <f>'Historical Financial Statement'!F58/'Historical Financial Statement'!F38</f>
        <v>0.66423937508274855</v>
      </c>
      <c r="G26" s="78">
        <f>'Historical Financial Statement'!G58/'Historical Financial Statement'!G38</f>
        <v>0.49552752293577984</v>
      </c>
      <c r="H26" s="78">
        <f>'Historical Financial Statement'!H58/'Historical Financial Statement'!H38</f>
        <v>0.40302996546730535</v>
      </c>
      <c r="I26" s="78">
        <f>'Historical Financial Statement'!I58/'Historical Financial Statement'!I38</f>
        <v>0.46660335549224435</v>
      </c>
      <c r="J26" s="78">
        <f>'Historical Financial Statement'!J58/'Historical Financial Statement'!J38</f>
        <v>0.70489401191755396</v>
      </c>
      <c r="K26" s="78">
        <f>'Historical Financial Statement'!K58/'Historical Financial Statement'!K38</f>
        <v>0.66312056737588654</v>
      </c>
      <c r="L26" s="78">
        <f>'Historical Financial Statement'!L58/'Historical Financial Statement'!L38</f>
        <v>0.21915898706729653</v>
      </c>
      <c r="M26" s="79">
        <f>'Historical Financial Statement'!M58/'Historical Financial Statement'!M38</f>
        <v>0.25344235375653762</v>
      </c>
      <c r="N26" s="79">
        <f>'Historical Financial Statement'!N58/'Historical Financial Statement'!N38</f>
        <v>0.12470007493844244</v>
      </c>
      <c r="O26" s="79">
        <f>'Historical Financial Statement'!O58/'Historical Financial Statement'!O38</f>
        <v>-1.600144400120947E-4</v>
      </c>
      <c r="P26" s="79">
        <f>'Historical Financial Statement'!P58/'Historical Financial Statement'!P38</f>
        <v>-0.15701606534447474</v>
      </c>
      <c r="Q26" s="79">
        <f>'Historical Financial Statement'!Q58/'Historical Financial Statement'!Q38</f>
        <v>-0.33388680035682827</v>
      </c>
    </row>
    <row r="27" spans="2:18" x14ac:dyDescent="0.45"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3"/>
      <c r="N27" s="83"/>
      <c r="O27" s="83"/>
      <c r="P27" s="83"/>
      <c r="Q27" s="83"/>
    </row>
    <row r="28" spans="2:18" x14ac:dyDescent="0.45">
      <c r="B28" s="2" t="s">
        <v>110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3"/>
      <c r="N28" s="83"/>
      <c r="O28" s="83"/>
      <c r="P28" s="83"/>
      <c r="Q28" s="83"/>
    </row>
    <row r="29" spans="2:18" x14ac:dyDescent="0.45">
      <c r="B29" t="s">
        <v>129</v>
      </c>
      <c r="C29" s="82">
        <f>'Historical Financial Statement'!C26/'Data Sheet'!B93</f>
        <v>20.745737651896686</v>
      </c>
      <c r="D29" s="82">
        <f>'Historical Financial Statement'!D26/'Data Sheet'!C93</f>
        <v>24.194964194964196</v>
      </c>
      <c r="E29" s="82">
        <f>'Historical Financial Statement'!E26/'Data Sheet'!D93</f>
        <v>27.883771423291911</v>
      </c>
      <c r="F29" s="82">
        <f>'Historical Financial Statement'!F26/'Data Sheet'!E93</f>
        <v>31.125277161862527</v>
      </c>
      <c r="G29" s="82">
        <f>'Historical Financial Statement'!G26/'Data Sheet'!F93</f>
        <v>33.852570650323457</v>
      </c>
      <c r="H29" s="82">
        <f>'Historical Financial Statement'!H26/'Data Sheet'!G93</f>
        <v>37.529792305073201</v>
      </c>
      <c r="I29" s="82">
        <f>'Historical Financial Statement'!I26/'Data Sheet'!H93</f>
        <v>42.398706162751104</v>
      </c>
      <c r="J29" s="82">
        <f>'Historical Financial Statement'!J26/'Data Sheet'!I93</f>
        <v>43.045624787197816</v>
      </c>
      <c r="K29" s="82">
        <f>'Historical Financial Statement'!K26/'Data Sheet'!J93</f>
        <v>45.301327885597544</v>
      </c>
      <c r="L29" s="82">
        <f>'Historical Financial Statement'!L26/'Data Sheet'!K93</f>
        <v>65.657984337759615</v>
      </c>
      <c r="M29" s="83">
        <f>_xlfn.FORECAST.LINEAR(M$2,$C29:$L29,$C$2:$L$2)</f>
        <v>59.343906901970513</v>
      </c>
      <c r="N29" s="83">
        <f t="shared" ref="N29:Q31" si="0">_xlfn.FORECAST.LINEAR(N$2,$C29:$L29,$C$2:$L$2)</f>
        <v>63.372869264307155</v>
      </c>
      <c r="O29" s="83">
        <f t="shared" si="0"/>
        <v>67.401831626643684</v>
      </c>
      <c r="P29" s="83">
        <f t="shared" si="0"/>
        <v>71.430793988980327</v>
      </c>
      <c r="Q29" s="83">
        <f t="shared" si="0"/>
        <v>75.459756351316855</v>
      </c>
    </row>
    <row r="30" spans="2:18" x14ac:dyDescent="0.45">
      <c r="B30" t="s">
        <v>130</v>
      </c>
      <c r="C30" s="82">
        <f>'Data Sheet'!B90/'Ratio Analysis'!C29</f>
        <v>42.06213414253898</v>
      </c>
      <c r="D30" s="82">
        <f>'Data Sheet'!C90/'Ratio Analysis'!D29</f>
        <v>52.742793488638526</v>
      </c>
      <c r="E30" s="82">
        <f>'Data Sheet'!D90/'Ratio Analysis'!E29</f>
        <v>58.583538618290255</v>
      </c>
      <c r="F30" s="82">
        <f>'Data Sheet'!E90/'Ratio Analysis'!F29</f>
        <v>70.676639715048978</v>
      </c>
      <c r="G30" s="82">
        <f>'Data Sheet'!F90/'Ratio Analysis'!G29</f>
        <v>68.742785416142823</v>
      </c>
      <c r="H30" s="82">
        <f>'Data Sheet'!G90/'Ratio Analysis'!H29</f>
        <v>52.243827625311866</v>
      </c>
      <c r="I30" s="82">
        <f>'Data Sheet'!H90/'Ratio Analysis'!I29</f>
        <v>57.795159847420202</v>
      </c>
      <c r="J30" s="82">
        <f>'Data Sheet'!I90/'Ratio Analysis'!J29</f>
        <v>50.34518631599763</v>
      </c>
      <c r="K30" s="82">
        <f>'Data Sheet'!J90/'Ratio Analysis'!K29</f>
        <v>47.722221420518608</v>
      </c>
      <c r="L30" s="82">
        <f>'Data Sheet'!K90/'Ratio Analysis'!L29</f>
        <v>31.301600570428469</v>
      </c>
      <c r="M30" s="83">
        <f>_xlfn.FORECAST.LINEAR(M$2,$C30:$L30,$C$2:$L$2)</f>
        <v>45.613225448827933</v>
      </c>
      <c r="N30" s="83">
        <f t="shared" si="0"/>
        <v>44.230575415205806</v>
      </c>
      <c r="O30" s="83">
        <f t="shared" si="0"/>
        <v>42.84792538158365</v>
      </c>
      <c r="P30" s="83">
        <f t="shared" si="0"/>
        <v>41.465275347961523</v>
      </c>
      <c r="Q30" s="83">
        <f t="shared" si="0"/>
        <v>40.082625314339367</v>
      </c>
    </row>
    <row r="31" spans="2:18" x14ac:dyDescent="0.45">
      <c r="B31" t="s">
        <v>131</v>
      </c>
      <c r="C31" s="82">
        <f>SUM('Historical Financial Statement'!C31:C32)/'Data Sheet'!B93</f>
        <v>29.986600748509911</v>
      </c>
      <c r="D31" s="82">
        <f>SUM('Historical Financial Statement'!D31:D32)/'Data Sheet'!C93</f>
        <v>32.686532686532686</v>
      </c>
      <c r="E31" s="82">
        <f>SUM('Historical Financial Statement'!E31:E32)/'Data Sheet'!D93</f>
        <v>35.38134614496235</v>
      </c>
      <c r="F31" s="82">
        <f>SUM('Historical Financial Statement'!F31:F32)/'Data Sheet'!E93</f>
        <v>37.098115299334815</v>
      </c>
      <c r="G31" s="82">
        <f>SUM('Historical Financial Statement'!G31:G32)/'Data Sheet'!F93</f>
        <v>201.88117126319372</v>
      </c>
      <c r="H31" s="82">
        <f>SUM('Historical Financial Statement'!H31:H32)/'Data Sheet'!G93</f>
        <v>207.52468505277494</v>
      </c>
      <c r="I31" s="82">
        <f>SUM('Historical Financial Statement'!I31:I32)/'Data Sheet'!H93</f>
        <v>213.74276472591077</v>
      </c>
      <c r="J31" s="82">
        <f>SUM('Historical Financial Statement'!J31:J32)/'Data Sheet'!I93</f>
        <v>216.94330949948926</v>
      </c>
      <c r="K31" s="82">
        <f>SUM('Historical Financial Statement'!K31:K32)/'Data Sheet'!J93</f>
        <v>209.19731018045624</v>
      </c>
      <c r="L31" s="82">
        <f>SUM('Historical Financial Statement'!L31:L32)/'Data Sheet'!K93</f>
        <v>209.49523323118828</v>
      </c>
      <c r="M31" s="83">
        <f>_xlfn.FORECAST.LINEAR(M$2,$C31:$L31,$C$2:$L$2)</f>
        <v>282.51490034037579</v>
      </c>
      <c r="N31" s="83">
        <f t="shared" si="0"/>
        <v>308.52397955962215</v>
      </c>
      <c r="O31" s="83">
        <f t="shared" si="0"/>
        <v>334.53305877886851</v>
      </c>
      <c r="P31" s="83">
        <f t="shared" si="0"/>
        <v>360.54213799811487</v>
      </c>
      <c r="Q31" s="83">
        <f t="shared" si="0"/>
        <v>386.55121721736123</v>
      </c>
    </row>
    <row r="32" spans="2:18" x14ac:dyDescent="0.45"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3"/>
      <c r="N32" s="83"/>
      <c r="O32" s="83"/>
      <c r="P32" s="83"/>
      <c r="Q32" s="83"/>
    </row>
    <row r="33" spans="2:17" x14ac:dyDescent="0.45">
      <c r="B33" s="2" t="s">
        <v>136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3"/>
      <c r="N33" s="83"/>
      <c r="O33" s="83"/>
      <c r="P33" s="83"/>
      <c r="Q33" s="83"/>
    </row>
    <row r="34" spans="2:17" x14ac:dyDescent="0.45">
      <c r="B34" t="s">
        <v>132</v>
      </c>
      <c r="C34" s="82">
        <f>365/C18</f>
        <v>47.97874116534031</v>
      </c>
      <c r="D34" s="82">
        <f t="shared" ref="D34:L34" si="1">365/D18</f>
        <v>45.921866666666666</v>
      </c>
      <c r="E34" s="82">
        <f t="shared" si="1"/>
        <v>43.173959757765182</v>
      </c>
      <c r="F34" s="82">
        <f t="shared" si="1"/>
        <v>47.936824273827916</v>
      </c>
      <c r="G34" s="82">
        <f t="shared" si="1"/>
        <v>49.844387034271179</v>
      </c>
      <c r="H34" s="82">
        <f t="shared" si="1"/>
        <v>50.022900225479141</v>
      </c>
      <c r="I34" s="82">
        <f t="shared" si="1"/>
        <v>42.420568561872912</v>
      </c>
      <c r="J34" s="82">
        <f t="shared" si="1"/>
        <v>42.100517413537474</v>
      </c>
      <c r="K34" s="82">
        <f t="shared" si="1"/>
        <v>46.119613737815435</v>
      </c>
      <c r="L34" s="82">
        <f t="shared" si="1"/>
        <v>46.005492609420834</v>
      </c>
      <c r="M34" s="83">
        <f>Calculation!L71</f>
        <v>46.152487144599704</v>
      </c>
      <c r="N34" s="83">
        <f>Calculation!M71</f>
        <v>45.969861742525651</v>
      </c>
      <c r="O34" s="83">
        <f>Calculation!N71</f>
        <v>45.974661250111545</v>
      </c>
      <c r="P34" s="83">
        <f>Calculation!O71</f>
        <v>46.254731399346184</v>
      </c>
      <c r="Q34" s="83">
        <f>Calculation!P71</f>
        <v>46.086522111898013</v>
      </c>
    </row>
    <row r="35" spans="2:17" x14ac:dyDescent="0.45">
      <c r="B35" t="s">
        <v>133</v>
      </c>
      <c r="C35" s="82">
        <f>365/C19</f>
        <v>10.621511445594232</v>
      </c>
      <c r="D35" s="82">
        <f t="shared" ref="D35:L35" si="2">365/D19</f>
        <v>12.126140477914555</v>
      </c>
      <c r="E35" s="82">
        <f t="shared" si="2"/>
        <v>15.975434282126415</v>
      </c>
      <c r="F35" s="82">
        <f t="shared" si="2"/>
        <v>9.8437540286193119</v>
      </c>
      <c r="G35" s="82">
        <f t="shared" si="2"/>
        <v>13.077658926863204</v>
      </c>
      <c r="H35" s="82">
        <f t="shared" si="2"/>
        <v>13.774930166233665</v>
      </c>
      <c r="I35" s="82">
        <f t="shared" si="2"/>
        <v>16.878719734884349</v>
      </c>
      <c r="J35" s="82">
        <f t="shared" si="2"/>
        <v>16.237245530767833</v>
      </c>
      <c r="K35" s="82">
        <f t="shared" si="2"/>
        <v>21.101447818218379</v>
      </c>
      <c r="L35" s="82">
        <f t="shared" si="2"/>
        <v>17.886325131101248</v>
      </c>
      <c r="M35" s="83">
        <f>Calculation!L67</f>
        <v>14.752316754232321</v>
      </c>
      <c r="N35" s="83">
        <f>Calculation!M67</f>
        <v>15.165397285096128</v>
      </c>
      <c r="O35" s="83">
        <f>Calculation!N67</f>
        <v>15.469322965814285</v>
      </c>
      <c r="P35" s="83">
        <f>Calculation!O67</f>
        <v>15.418711834183073</v>
      </c>
      <c r="Q35" s="83">
        <f>Calculation!P67</f>
        <v>15.976207614739446</v>
      </c>
    </row>
    <row r="36" spans="2:17" x14ac:dyDescent="0.45">
      <c r="B36" t="s">
        <v>134</v>
      </c>
      <c r="C36" s="82">
        <f>365/C20</f>
        <v>121.99844176081028</v>
      </c>
      <c r="D36" s="82">
        <f t="shared" ref="D36:L36" si="3">365/D20</f>
        <v>136.51973333333333</v>
      </c>
      <c r="E36" s="82">
        <f t="shared" si="3"/>
        <v>126.02803281890994</v>
      </c>
      <c r="F36" s="82">
        <f t="shared" si="3"/>
        <v>134.55408300533108</v>
      </c>
      <c r="G36" s="82">
        <f t="shared" si="3"/>
        <v>127.10834376135308</v>
      </c>
      <c r="H36" s="82">
        <f t="shared" si="3"/>
        <v>113.98534385569334</v>
      </c>
      <c r="I36" s="82">
        <f t="shared" si="3"/>
        <v>98.826980740399023</v>
      </c>
      <c r="J36" s="82">
        <f t="shared" si="3"/>
        <v>112.07661351326817</v>
      </c>
      <c r="K36" s="82">
        <f t="shared" si="3"/>
        <v>121.89942607269747</v>
      </c>
      <c r="L36" s="82">
        <f t="shared" si="3"/>
        <v>135.53933973658479</v>
      </c>
      <c r="M36" s="83">
        <f>Calculation!L47</f>
        <v>122.85363385983806</v>
      </c>
      <c r="N36" s="83">
        <f>Calculation!M47</f>
        <v>122.93915306974085</v>
      </c>
      <c r="O36" s="83">
        <f>Calculation!N47</f>
        <v>121.58109504338155</v>
      </c>
      <c r="P36" s="83">
        <f>Calculation!O47</f>
        <v>121.13640126582871</v>
      </c>
      <c r="Q36" s="83">
        <f>Calculation!P47</f>
        <v>119.79463309187851</v>
      </c>
    </row>
    <row r="37" spans="2:17" ht="14.65" thickBot="1" x14ac:dyDescent="0.5"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3"/>
      <c r="N37" s="83"/>
      <c r="O37" s="83"/>
      <c r="P37" s="83"/>
      <c r="Q37" s="83"/>
    </row>
    <row r="38" spans="2:17" s="2" customFormat="1" ht="14.65" thickBot="1" x14ac:dyDescent="0.5">
      <c r="B38" s="84" t="s">
        <v>135</v>
      </c>
      <c r="C38" s="172">
        <f>SUM(C34:C35)-C36</f>
        <v>-63.398189149875741</v>
      </c>
      <c r="D38" s="172">
        <f t="shared" ref="D38:Q38" si="4">SUM(D34:D35)-D36</f>
        <v>-78.471726188752115</v>
      </c>
      <c r="E38" s="172">
        <f t="shared" si="4"/>
        <v>-66.878638779018331</v>
      </c>
      <c r="F38" s="172">
        <f t="shared" si="4"/>
        <v>-76.773504702883855</v>
      </c>
      <c r="G38" s="172">
        <f t="shared" si="4"/>
        <v>-64.186297800218696</v>
      </c>
      <c r="H38" s="172">
        <f t="shared" si="4"/>
        <v>-50.187513463980537</v>
      </c>
      <c r="I38" s="172">
        <f t="shared" si="4"/>
        <v>-39.527692443641762</v>
      </c>
      <c r="J38" s="172">
        <f t="shared" si="4"/>
        <v>-53.73885056896286</v>
      </c>
      <c r="K38" s="172">
        <f t="shared" si="4"/>
        <v>-54.678364516663649</v>
      </c>
      <c r="L38" s="173">
        <f t="shared" si="4"/>
        <v>-71.647521996062707</v>
      </c>
      <c r="M38" s="174">
        <f t="shared" si="4"/>
        <v>-61.948829961006027</v>
      </c>
      <c r="N38" s="175">
        <f t="shared" si="4"/>
        <v>-61.803894042119076</v>
      </c>
      <c r="O38" s="175">
        <f t="shared" si="4"/>
        <v>-60.137110827455722</v>
      </c>
      <c r="P38" s="175">
        <f t="shared" si="4"/>
        <v>-59.462958032299454</v>
      </c>
      <c r="Q38" s="176">
        <f t="shared" si="4"/>
        <v>-57.731903365241052</v>
      </c>
    </row>
    <row r="39" spans="2:17" x14ac:dyDescent="0.45">
      <c r="M39" s="83"/>
      <c r="N39" s="83"/>
      <c r="O39" s="83"/>
      <c r="P39" s="83"/>
      <c r="Q39" s="83"/>
    </row>
    <row r="40" spans="2:17" x14ac:dyDescent="0.45">
      <c r="B40" s="2" t="s">
        <v>171</v>
      </c>
      <c r="M40" s="83"/>
      <c r="N40" s="83"/>
      <c r="O40" s="83"/>
      <c r="P40" s="83"/>
      <c r="Q40" s="83"/>
    </row>
    <row r="41" spans="2:17" x14ac:dyDescent="0.45">
      <c r="B41" t="s">
        <v>168</v>
      </c>
      <c r="C41" s="59">
        <f>'Data Sheet'!B31/'Data Sheet'!B30</f>
        <v>0.81781737193763915</v>
      </c>
      <c r="D41" s="59">
        <f>'Data Sheet'!C31/'Data Sheet'!C30</f>
        <v>0.82489975176627839</v>
      </c>
      <c r="E41" s="59">
        <f>'Data Sheet'!D31/'Data Sheet'!D30</f>
        <v>0.78727634194831009</v>
      </c>
      <c r="F41" s="59">
        <f>'Data Sheet'!E31/'Data Sheet'!E30</f>
        <v>0.80142475512021372</v>
      </c>
      <c r="G41" s="59">
        <f>'Data Sheet'!F31/'Data Sheet'!F30</f>
        <v>1.1965677646467185</v>
      </c>
      <c r="H41" s="59">
        <f>'Data Sheet'!G31/'Data Sheet'!G30</f>
        <v>0.9061011567248809</v>
      </c>
      <c r="I41" s="59">
        <f>'Data Sheet'!H31/'Data Sheet'!H30</f>
        <v>0.91999598474201971</v>
      </c>
      <c r="J41" s="59">
        <f>'Data Sheet'!I31/'Data Sheet'!I30</f>
        <v>0.97587502471821241</v>
      </c>
      <c r="K41" s="59">
        <f>'Data Sheet'!J31/'Data Sheet'!J30</f>
        <v>1.1701428034573469</v>
      </c>
      <c r="L41" s="59">
        <f>'Data Sheet'!K31/'Data Sheet'!K30</f>
        <v>0.6245543527581513</v>
      </c>
      <c r="M41" s="79">
        <f>_xlfn.FORECAST.LINEAR(M$2,C$41:L$41,$C$2:$L$2)</f>
        <v>0.95866316525284989</v>
      </c>
      <c r="N41" s="79">
        <f t="shared" ref="N41:Q41" si="5">_xlfn.FORECAST.LINEAR(N$2,D$41:M$41,$C$2:$L$2)</f>
        <v>0.96622027423362056</v>
      </c>
      <c r="O41" s="79">
        <f t="shared" si="5"/>
        <v>0.9623681261057967</v>
      </c>
      <c r="P41" s="79">
        <f t="shared" si="5"/>
        <v>0.91766110500406106</v>
      </c>
      <c r="Q41" s="79">
        <f t="shared" si="5"/>
        <v>0.81699166869952378</v>
      </c>
    </row>
    <row r="42" spans="2:17" x14ac:dyDescent="0.45">
      <c r="B42" t="s">
        <v>169</v>
      </c>
      <c r="C42" s="59">
        <f>1-C41</f>
        <v>0.18218262806236085</v>
      </c>
      <c r="D42" s="59">
        <f t="shared" ref="D42:Q42" si="6">1-D41</f>
        <v>0.17510024823372161</v>
      </c>
      <c r="E42" s="59">
        <f t="shared" si="6"/>
        <v>0.21272365805168991</v>
      </c>
      <c r="F42" s="59">
        <f t="shared" si="6"/>
        <v>0.19857524487978628</v>
      </c>
      <c r="G42" s="59">
        <f t="shared" si="6"/>
        <v>-0.19656776464671855</v>
      </c>
      <c r="H42" s="59">
        <f t="shared" si="6"/>
        <v>9.3898843275119104E-2</v>
      </c>
      <c r="I42" s="59">
        <f t="shared" si="6"/>
        <v>8.0004015257980288E-2</v>
      </c>
      <c r="J42" s="59">
        <f t="shared" si="6"/>
        <v>2.4124975281787586E-2</v>
      </c>
      <c r="K42" s="59">
        <f t="shared" si="6"/>
        <v>-0.17014280345734689</v>
      </c>
      <c r="L42" s="59">
        <f t="shared" si="6"/>
        <v>0.3754456472418487</v>
      </c>
      <c r="M42" s="79">
        <f t="shared" si="6"/>
        <v>4.1336834747150109E-2</v>
      </c>
      <c r="N42" s="79">
        <f t="shared" si="6"/>
        <v>3.3779725766379443E-2</v>
      </c>
      <c r="O42" s="79">
        <f t="shared" si="6"/>
        <v>3.7631873894203305E-2</v>
      </c>
      <c r="P42" s="79">
        <f t="shared" si="6"/>
        <v>8.2338894995938938E-2</v>
      </c>
      <c r="Q42" s="79">
        <f t="shared" si="6"/>
        <v>0.18300833130047622</v>
      </c>
    </row>
    <row r="43" spans="2:17" ht="14.65" thickBot="1" x14ac:dyDescent="0.5"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83"/>
      <c r="N43" s="83"/>
      <c r="O43" s="83"/>
      <c r="P43" s="83"/>
      <c r="Q43" s="83"/>
    </row>
    <row r="44" spans="2:17" ht="14.65" thickBot="1" x14ac:dyDescent="0.5">
      <c r="B44" s="84" t="s">
        <v>170</v>
      </c>
      <c r="C44" s="165">
        <f>C42*C9</f>
        <v>0.12604006163328199</v>
      </c>
      <c r="D44" s="165">
        <f t="shared" ref="D44:Q44" si="7">D42*D9</f>
        <v>0.1296113074204947</v>
      </c>
      <c r="E44" s="165">
        <f t="shared" si="7"/>
        <v>0.16764590677634159</v>
      </c>
      <c r="F44" s="165">
        <f t="shared" si="7"/>
        <v>0.16660440791931266</v>
      </c>
      <c r="G44" s="165">
        <f t="shared" si="7"/>
        <v>-3.2961588733819609E-2</v>
      </c>
      <c r="H44" s="165">
        <f t="shared" si="7"/>
        <v>1.6981132075471705E-2</v>
      </c>
      <c r="I44" s="165">
        <f t="shared" si="7"/>
        <v>1.58698552398399E-2</v>
      </c>
      <c r="J44" s="165">
        <f t="shared" si="7"/>
        <v>4.7868479391050094E-3</v>
      </c>
      <c r="K44" s="165">
        <f t="shared" si="7"/>
        <v>-3.6844139726974957E-2</v>
      </c>
      <c r="L44" s="166">
        <f t="shared" si="7"/>
        <v>0.11766856957113546</v>
      </c>
      <c r="M44" s="106">
        <f t="shared" si="7"/>
        <v>1.0678911680902634E-2</v>
      </c>
      <c r="N44" s="106">
        <f t="shared" si="7"/>
        <v>9.1962760777788526E-3</v>
      </c>
      <c r="O44" s="106">
        <f t="shared" si="7"/>
        <v>1.0608551814864793E-2</v>
      </c>
      <c r="P44" s="106">
        <f t="shared" si="7"/>
        <v>2.3818240065173593E-2</v>
      </c>
      <c r="Q44" s="106">
        <f t="shared" si="7"/>
        <v>5.4693951004788917E-2</v>
      </c>
    </row>
  </sheetData>
  <mergeCells count="1">
    <mergeCell ref="B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7426-506C-4957-8B2B-2E9D29417EAA}">
  <dimension ref="B1:Q24"/>
  <sheetViews>
    <sheetView showGridLines="0" zoomScaleNormal="100" workbookViewId="0">
      <selection activeCell="F9" sqref="F9"/>
    </sheetView>
  </sheetViews>
  <sheetFormatPr defaultRowHeight="14.25" x14ac:dyDescent="0.45"/>
  <cols>
    <col min="1" max="1" width="1.73046875" customWidth="1"/>
    <col min="2" max="2" width="34.1328125" bestFit="1" customWidth="1"/>
    <col min="3" max="3" width="19.796875" bestFit="1" customWidth="1"/>
    <col min="5" max="5" width="11.3984375" bestFit="1" customWidth="1"/>
    <col min="7" max="15" width="10.19921875" bestFit="1" customWidth="1"/>
  </cols>
  <sheetData>
    <row r="1" spans="2:17" ht="18" x14ac:dyDescent="0.55000000000000004">
      <c r="B1" s="219" t="str">
        <f>"DCF Model for "&amp;'Data Sheet'!B1</f>
        <v>DCF Model for HINDUSTAN UNILEVER LTD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</row>
    <row r="2" spans="2:17" ht="18" x14ac:dyDescent="0.55000000000000004">
      <c r="B2" s="228" t="str">
        <f>"WACC Calculation for "&amp;'Data Sheet'!B1</f>
        <v>WACC Calculation for HINDUSTAN UNILEVER LTD</v>
      </c>
      <c r="C2" s="228"/>
      <c r="E2" s="225" t="str">
        <f>"Discount Cash-Flow for "&amp;'Data Sheet'!B1</f>
        <v>Discount Cash-Flow for HINDUSTAN UNILEVER LTD</v>
      </c>
      <c r="F2" s="226"/>
      <c r="G2" s="226"/>
      <c r="H2" s="226"/>
      <c r="I2" s="226"/>
      <c r="J2" s="226"/>
      <c r="K2" s="226"/>
      <c r="L2" s="226"/>
      <c r="M2" s="226"/>
      <c r="N2" s="226"/>
      <c r="O2" s="227"/>
    </row>
    <row r="3" spans="2:17" x14ac:dyDescent="0.45">
      <c r="B3" s="90" t="s">
        <v>140</v>
      </c>
      <c r="C3" s="91">
        <v>426802</v>
      </c>
      <c r="E3" s="100"/>
      <c r="F3" s="89">
        <v>1</v>
      </c>
      <c r="G3" s="89">
        <v>2</v>
      </c>
      <c r="H3" s="89">
        <v>3</v>
      </c>
      <c r="I3" s="89">
        <v>4</v>
      </c>
      <c r="J3" s="89">
        <v>5</v>
      </c>
      <c r="K3" s="89">
        <v>6</v>
      </c>
      <c r="L3" s="89">
        <v>7</v>
      </c>
      <c r="M3" s="89">
        <v>8</v>
      </c>
      <c r="N3" s="89">
        <v>9</v>
      </c>
      <c r="O3" s="111">
        <v>10</v>
      </c>
    </row>
    <row r="4" spans="2:17" x14ac:dyDescent="0.45">
      <c r="B4" s="90" t="s">
        <v>141</v>
      </c>
      <c r="C4" s="91">
        <v>1325</v>
      </c>
      <c r="E4" s="101" t="s">
        <v>159</v>
      </c>
      <c r="F4" s="57">
        <f>'Historical Financial Statement'!C17</f>
        <v>5651</v>
      </c>
      <c r="G4" s="57">
        <f>'Historical Financial Statement'!D17</f>
        <v>6798</v>
      </c>
      <c r="H4" s="57">
        <f>'Historical Financial Statement'!E17</f>
        <v>8113</v>
      </c>
      <c r="I4" s="57">
        <f>'Historical Financial Statement'!F17</f>
        <v>8662</v>
      </c>
      <c r="J4" s="57">
        <f>'Historical Financial Statement'!G17</f>
        <v>10312</v>
      </c>
      <c r="K4" s="57">
        <f>'Historical Financial Statement'!H17</f>
        <v>11478</v>
      </c>
      <c r="L4" s="57">
        <f>'Historical Financial Statement'!I17</f>
        <v>12602</v>
      </c>
      <c r="M4" s="57">
        <f>'Historical Financial Statement'!J17</f>
        <v>13093</v>
      </c>
      <c r="N4" s="57">
        <f>'Historical Financial Statement'!K17</f>
        <v>13022</v>
      </c>
      <c r="O4" s="103">
        <f>'Historical Financial Statement'!L17</f>
        <v>13278</v>
      </c>
    </row>
    <row r="5" spans="2:17" x14ac:dyDescent="0.45">
      <c r="B5" s="90" t="s">
        <v>157</v>
      </c>
      <c r="C5" s="92">
        <f>C3/SUM(C3:C4)</f>
        <v>0.99690512394686626</v>
      </c>
      <c r="E5" s="101" t="s">
        <v>162</v>
      </c>
      <c r="F5" s="58">
        <f>$C7</f>
        <v>0.16552171796397469</v>
      </c>
      <c r="G5" s="58">
        <f t="shared" ref="G5:O5" si="0">$C7</f>
        <v>0.16552171796397469</v>
      </c>
      <c r="H5" s="58">
        <f t="shared" si="0"/>
        <v>0.16552171796397469</v>
      </c>
      <c r="I5" s="58">
        <f t="shared" si="0"/>
        <v>0.16552171796397469</v>
      </c>
      <c r="J5" s="58">
        <f t="shared" si="0"/>
        <v>0.16552171796397469</v>
      </c>
      <c r="K5" s="58">
        <f t="shared" si="0"/>
        <v>0.16552171796397469</v>
      </c>
      <c r="L5" s="58">
        <f t="shared" si="0"/>
        <v>0.16552171796397469</v>
      </c>
      <c r="M5" s="58">
        <f t="shared" si="0"/>
        <v>0.16552171796397469</v>
      </c>
      <c r="N5" s="58">
        <f t="shared" si="0"/>
        <v>0.16552171796397469</v>
      </c>
      <c r="O5" s="104">
        <f t="shared" si="0"/>
        <v>0.16552171796397469</v>
      </c>
    </row>
    <row r="6" spans="2:17" x14ac:dyDescent="0.45">
      <c r="B6" s="90" t="s">
        <v>158</v>
      </c>
      <c r="C6" s="92">
        <f>C4/SUM(C3:C4)</f>
        <v>3.0948760531337664E-3</v>
      </c>
      <c r="E6" s="101" t="s">
        <v>5</v>
      </c>
      <c r="F6" s="57">
        <f>'Historical Financial Statement'!C16</f>
        <v>396</v>
      </c>
      <c r="G6" s="57">
        <f>'Historical Financial Statement'!D16</f>
        <v>478</v>
      </c>
      <c r="H6" s="57">
        <f>'Historical Financial Statement'!E16</f>
        <v>524</v>
      </c>
      <c r="I6" s="57">
        <f>'Historical Financial Statement'!F16</f>
        <v>938</v>
      </c>
      <c r="J6" s="57">
        <f>'Historical Financial Statement'!G16</f>
        <v>1012</v>
      </c>
      <c r="K6" s="57">
        <f>'Historical Financial Statement'!H16</f>
        <v>1025</v>
      </c>
      <c r="L6" s="57">
        <f>'Historical Financial Statement'!I16</f>
        <v>1030</v>
      </c>
      <c r="M6" s="57">
        <f>'Historical Financial Statement'!J16</f>
        <v>1097</v>
      </c>
      <c r="N6" s="57">
        <f>'Historical Financial Statement'!K16</f>
        <v>1122</v>
      </c>
      <c r="O6" s="103">
        <f>'Historical Financial Statement'!L16</f>
        <v>1186</v>
      </c>
    </row>
    <row r="7" spans="2:17" x14ac:dyDescent="0.45">
      <c r="B7" s="90" t="s">
        <v>8</v>
      </c>
      <c r="C7" s="92">
        <f>'Historical Financial Statement'!L25/'Historical Financial Statement'!L22</f>
        <v>0.16552171796397469</v>
      </c>
      <c r="E7" s="101" t="s">
        <v>163</v>
      </c>
      <c r="F7" s="118">
        <f>'Historical Financial Statement'!C78</f>
        <v>-1024</v>
      </c>
      <c r="G7" s="118">
        <f>'Historical Financial Statement'!D78</f>
        <v>-853</v>
      </c>
      <c r="H7" s="118">
        <f>'Historical Financial Statement'!E78</f>
        <v>-728</v>
      </c>
      <c r="I7" s="118">
        <f>'Historical Financial Statement'!F78</f>
        <v>-765</v>
      </c>
      <c r="J7" s="118">
        <f>'Historical Financial Statement'!G78</f>
        <v>-4051</v>
      </c>
      <c r="K7" s="118">
        <f>'Historical Financial Statement'!H78</f>
        <v>-919</v>
      </c>
      <c r="L7" s="118">
        <f>'Historical Financial Statement'!I78</f>
        <v>-1041</v>
      </c>
      <c r="M7" s="118">
        <f>'Historical Financial Statement'!J78</f>
        <v>-1318</v>
      </c>
      <c r="N7" s="118">
        <f>'Historical Financial Statement'!K78</f>
        <v>-1149</v>
      </c>
      <c r="O7" s="119">
        <f>'Historical Financial Statement'!L78</f>
        <v>-1274</v>
      </c>
    </row>
    <row r="8" spans="2:17" x14ac:dyDescent="0.45">
      <c r="B8" s="90" t="s">
        <v>154</v>
      </c>
      <c r="C8" s="93">
        <v>10</v>
      </c>
      <c r="E8" s="101" t="s">
        <v>164</v>
      </c>
      <c r="F8" s="118">
        <f>SUM('Historical Financial Statement'!C57,'Historical Financial Statement'!C56)-'Historical Financial Statement'!C36</f>
        <v>-2716</v>
      </c>
      <c r="G8" s="118">
        <f>SUM('Historical Financial Statement'!D57,'Historical Financial Statement'!D56)-'Historical Financial Statement'!D36</f>
        <v>-3507</v>
      </c>
      <c r="H8" s="118">
        <f>SUM('Historical Financial Statement'!E57,'Historical Financial Statement'!E56)-'Historical Financial Statement'!E36</f>
        <v>-2975</v>
      </c>
      <c r="I8" s="118">
        <f>SUM('Historical Financial Statement'!F57,'Historical Financial Statement'!F56)-'Historical Financial Statement'!F36</f>
        <v>-3717</v>
      </c>
      <c r="J8" s="118">
        <f>SUM('Historical Financial Statement'!G57,'Historical Financial Statement'!G56)-'Historical Financial Statement'!G36</f>
        <v>-3596</v>
      </c>
      <c r="K8" s="118">
        <f>SUM('Historical Financial Statement'!H57,'Historical Financial Statement'!H56)-'Historical Financial Statement'!H36</f>
        <v>-3042</v>
      </c>
      <c r="L8" s="118">
        <f>SUM('Historical Financial Statement'!I57,'Historical Financial Statement'!I56)-'Historical Financial Statement'!I36</f>
        <v>-2625</v>
      </c>
      <c r="M8" s="118">
        <f>SUM('Historical Financial Statement'!J57,'Historical Financial Statement'!J56)-'Historical Financial Statement'!J36</f>
        <v>-3646</v>
      </c>
      <c r="N8" s="118">
        <f>SUM('Historical Financial Statement'!K57,'Historical Financial Statement'!K56)-'Historical Financial Statement'!K36</f>
        <v>-3387</v>
      </c>
      <c r="O8" s="119">
        <f>SUM('Historical Financial Statement'!L57,'Historical Financial Statement'!L56)-'Historical Financial Statement'!L36</f>
        <v>-5493</v>
      </c>
    </row>
    <row r="9" spans="2:17" x14ac:dyDescent="0.45">
      <c r="B9" s="90" t="s">
        <v>142</v>
      </c>
      <c r="C9" s="94">
        <v>7.2900000000000006E-2</v>
      </c>
      <c r="E9" s="102" t="s">
        <v>165</v>
      </c>
      <c r="F9" s="112">
        <f>F4*(1-F5)+F6-F7-F8</f>
        <v>8851.6367717855792</v>
      </c>
      <c r="G9" s="112">
        <f t="shared" ref="G9:O9" si="1">G4*(1-G5)+G6-G7-G8</f>
        <v>10510.783361280901</v>
      </c>
      <c r="H9" s="112">
        <f t="shared" si="1"/>
        <v>10997.122302158274</v>
      </c>
      <c r="I9" s="112">
        <f t="shared" si="1"/>
        <v>12648.250878996052</v>
      </c>
      <c r="J9" s="112">
        <f t="shared" si="1"/>
        <v>17264.140044355492</v>
      </c>
      <c r="K9" s="112">
        <f t="shared" si="1"/>
        <v>14564.141721209498</v>
      </c>
      <c r="L9" s="112">
        <f t="shared" si="1"/>
        <v>15212.09531021799</v>
      </c>
      <c r="M9" s="112">
        <f t="shared" si="1"/>
        <v>16986.824146697676</v>
      </c>
      <c r="N9" s="112">
        <f t="shared" si="1"/>
        <v>16524.57618867312</v>
      </c>
      <c r="O9" s="113">
        <f t="shared" si="1"/>
        <v>19033.202628874344</v>
      </c>
    </row>
    <row r="10" spans="2:17" x14ac:dyDescent="0.45">
      <c r="B10" s="90" t="s">
        <v>143</v>
      </c>
      <c r="C10" s="92">
        <f>_xlfn.RRI(C8,'BETA Calculation'!G525,'BETA Calculation'!G4)</f>
        <v>9.9098128389498941E-2</v>
      </c>
    </row>
    <row r="11" spans="2:17" x14ac:dyDescent="0.45">
      <c r="B11" s="90" t="s">
        <v>137</v>
      </c>
      <c r="C11" s="92">
        <f>('Historical Financial Statement'!L20/'DCF Model'!C4)*(1-'DCF Model'!C7)</f>
        <v>0.22861555953137899</v>
      </c>
      <c r="E11" s="86" t="s">
        <v>174</v>
      </c>
      <c r="F11" s="2"/>
      <c r="G11" s="109">
        <v>0.06</v>
      </c>
    </row>
    <row r="12" spans="2:17" x14ac:dyDescent="0.45">
      <c r="B12" s="90" t="s">
        <v>138</v>
      </c>
      <c r="C12" s="95">
        <f>C9+C13*(C10-C9)</f>
        <v>8.6463244287744948E-2</v>
      </c>
      <c r="E12" s="86" t="s">
        <v>156</v>
      </c>
      <c r="F12" s="2"/>
      <c r="G12" s="109">
        <f>C16</f>
        <v>8.6903188084089991E-2</v>
      </c>
    </row>
    <row r="13" spans="2:17" ht="14.65" thickBot="1" x14ac:dyDescent="0.5">
      <c r="B13" s="96" t="s">
        <v>139</v>
      </c>
      <c r="C13" s="120">
        <f>'BETA Calculation'!L8</f>
        <v>0.517718063141546</v>
      </c>
      <c r="E13" s="86" t="s">
        <v>178</v>
      </c>
      <c r="G13" s="2">
        <f>O9*(1+G11)/(G12-G11)</f>
        <v>749918.36371013627</v>
      </c>
    </row>
    <row r="14" spans="2:17" x14ac:dyDescent="0.45">
      <c r="C14" s="97"/>
    </row>
    <row r="15" spans="2:17" x14ac:dyDescent="0.45">
      <c r="C15" s="97"/>
      <c r="E15" s="86" t="s">
        <v>175</v>
      </c>
      <c r="G15" s="110">
        <f>1/(1+$G12)^F3</f>
        <v>0.92004514382069635</v>
      </c>
      <c r="H15" s="110">
        <f t="shared" ref="H15:P15" si="2">1/(1+$G12)^G3</f>
        <v>0.84648306666804585</v>
      </c>
      <c r="I15" s="110">
        <f t="shared" si="2"/>
        <v>0.77880263481438639</v>
      </c>
      <c r="J15" s="110">
        <f t="shared" si="2"/>
        <v>0.71653358215573937</v>
      </c>
      <c r="K15" s="110">
        <f t="shared" si="2"/>
        <v>0.65924324264683598</v>
      </c>
      <c r="L15" s="110">
        <f t="shared" si="2"/>
        <v>0.60653354399383042</v>
      </c>
      <c r="M15" s="110">
        <f t="shared" si="2"/>
        <v>0.55803824171588046</v>
      </c>
      <c r="N15" s="110">
        <f t="shared" si="2"/>
        <v>0.51342037435693566</v>
      </c>
      <c r="O15" s="110">
        <f t="shared" si="2"/>
        <v>0.47236992216570267</v>
      </c>
      <c r="P15" s="110">
        <f t="shared" si="2"/>
        <v>0.43460165297551501</v>
      </c>
      <c r="Q15" s="110"/>
    </row>
    <row r="16" spans="2:17" x14ac:dyDescent="0.45">
      <c r="B16" s="98" t="s">
        <v>156</v>
      </c>
      <c r="C16" s="99">
        <f>(C5*C12)+(C6*C11)</f>
        <v>8.6903188084089991E-2</v>
      </c>
      <c r="E16" s="86" t="s">
        <v>176</v>
      </c>
      <c r="G16" s="110">
        <f>F9*G15</f>
        <v>8143.9054267460278</v>
      </c>
      <c r="H16" s="110">
        <f t="shared" ref="H16:P16" si="3">G9*H15</f>
        <v>8897.2001327405287</v>
      </c>
      <c r="I16" s="110">
        <f t="shared" si="3"/>
        <v>8564.5878242969138</v>
      </c>
      <c r="J16" s="110">
        <f t="shared" si="3"/>
        <v>9062.8965103315204</v>
      </c>
      <c r="K16" s="110">
        <f t="shared" si="3"/>
        <v>11381.267664350005</v>
      </c>
      <c r="L16" s="110">
        <f t="shared" si="3"/>
        <v>8833.6404933936028</v>
      </c>
      <c r="M16" s="110">
        <f t="shared" si="3"/>
        <v>8488.9309197284383</v>
      </c>
      <c r="N16" s="110">
        <f t="shared" si="3"/>
        <v>8721.3816125329558</v>
      </c>
      <c r="O16" s="110">
        <f t="shared" si="3"/>
        <v>7805.7127680647454</v>
      </c>
      <c r="P16" s="110">
        <f t="shared" si="3"/>
        <v>8271.861323926707</v>
      </c>
    </row>
    <row r="17" spans="2:7" x14ac:dyDescent="0.45">
      <c r="B17" t="s">
        <v>155</v>
      </c>
      <c r="E17" s="86" t="s">
        <v>177</v>
      </c>
      <c r="G17">
        <f>G13*P15</f>
        <v>325915.76046511868</v>
      </c>
    </row>
    <row r="19" spans="2:7" x14ac:dyDescent="0.45">
      <c r="B19" s="107" t="s">
        <v>166</v>
      </c>
      <c r="C19" s="108"/>
      <c r="E19" s="86" t="s">
        <v>179</v>
      </c>
      <c r="G19" s="2">
        <f>SUM(G16:P16,G17)</f>
        <v>414087.14514123008</v>
      </c>
    </row>
    <row r="20" spans="2:7" x14ac:dyDescent="0.45">
      <c r="B20" s="107" t="s">
        <v>172</v>
      </c>
      <c r="C20" s="108"/>
      <c r="E20" s="88" t="s">
        <v>180</v>
      </c>
      <c r="G20" s="118">
        <f>'Historical Financial Statement'!L41-'Historical Financial Statement'!L58</f>
        <v>-1505</v>
      </c>
    </row>
    <row r="21" spans="2:7" x14ac:dyDescent="0.45">
      <c r="B21" s="107" t="s">
        <v>173</v>
      </c>
      <c r="C21" s="108"/>
      <c r="E21" s="86" t="s">
        <v>181</v>
      </c>
      <c r="G21" s="2">
        <f>G19-G20</f>
        <v>415592.14514123008</v>
      </c>
    </row>
    <row r="22" spans="2:7" x14ac:dyDescent="0.45">
      <c r="E22" s="88" t="s">
        <v>182</v>
      </c>
      <c r="G22">
        <f>'Data Sheet'!K93</f>
        <v>234.96</v>
      </c>
    </row>
    <row r="24" spans="2:7" x14ac:dyDescent="0.45">
      <c r="E24" s="115" t="s">
        <v>183</v>
      </c>
      <c r="F24" s="116"/>
      <c r="G24" s="117">
        <f>G21/G22</f>
        <v>1768.7782820106829</v>
      </c>
    </row>
  </sheetData>
  <mergeCells count="3">
    <mergeCell ref="E2:O2"/>
    <mergeCell ref="B2:C2"/>
    <mergeCell ref="B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3167-1B68-42E7-A7FF-63B5C0158AF2}">
  <dimension ref="B1:L525"/>
  <sheetViews>
    <sheetView showGridLines="0" workbookViewId="0">
      <selection activeCell="D3" sqref="D1:D1048576"/>
    </sheetView>
  </sheetViews>
  <sheetFormatPr defaultRowHeight="14.25" x14ac:dyDescent="0.45"/>
  <cols>
    <col min="1" max="1" width="1.73046875" customWidth="1"/>
    <col min="2" max="2" width="9.9296875" style="88" bestFit="1" customWidth="1"/>
    <col min="3" max="3" width="9" style="57"/>
    <col min="4" max="4" width="9" style="58"/>
    <col min="6" max="6" width="9.9296875" style="88" bestFit="1" customWidth="1"/>
    <col min="7" max="7" width="9" style="57"/>
    <col min="8" max="8" width="9" style="58"/>
    <col min="11" max="11" width="30.265625" bestFit="1" customWidth="1"/>
  </cols>
  <sheetData>
    <row r="1" spans="2:12" ht="18" x14ac:dyDescent="0.55000000000000004">
      <c r="B1" s="219" t="str">
        <f>"BETA(L) Calculation for "&amp;'Data Sheet'!B1</f>
        <v>BETA(L) Calculation for HINDUSTAN UNILEVER LTD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spans="2:12" x14ac:dyDescent="0.45">
      <c r="B2" s="229" t="str">
        <f>'Data Sheet'!B1</f>
        <v>HINDUSTAN UNILEVER LTD</v>
      </c>
      <c r="C2" s="229"/>
      <c r="D2" s="229"/>
      <c r="F2" s="229" t="s">
        <v>147</v>
      </c>
      <c r="G2" s="229"/>
      <c r="H2" s="229"/>
    </row>
    <row r="3" spans="2:12" x14ac:dyDescent="0.45">
      <c r="B3" s="86" t="s">
        <v>144</v>
      </c>
      <c r="C3" s="89" t="s">
        <v>145</v>
      </c>
      <c r="D3" s="177" t="s">
        <v>146</v>
      </c>
      <c r="F3" s="86" t="s">
        <v>144</v>
      </c>
      <c r="G3" s="89" t="s">
        <v>145</v>
      </c>
      <c r="H3" s="177" t="s">
        <v>146</v>
      </c>
    </row>
    <row r="4" spans="2:12" x14ac:dyDescent="0.45">
      <c r="B4" s="87">
        <v>46306</v>
      </c>
      <c r="C4" s="167">
        <v>1820.7</v>
      </c>
      <c r="D4" s="59">
        <f t="shared" ref="D4:D67" si="0">IFERROR((C4/C5)-1,0)</f>
        <v>-1.9389238972370326E-2</v>
      </c>
      <c r="E4" s="85"/>
      <c r="F4" s="87">
        <v>46306</v>
      </c>
      <c r="G4" s="167">
        <v>22363.35</v>
      </c>
      <c r="H4" s="58">
        <f t="shared" ref="H4:H67" si="1">IFERROR((G4/G5)-1,0)</f>
        <v>-6.9758819206544587E-3</v>
      </c>
      <c r="K4" s="230" t="s">
        <v>148</v>
      </c>
      <c r="L4" s="230"/>
    </row>
    <row r="5" spans="2:12" x14ac:dyDescent="0.45">
      <c r="B5" s="87">
        <v>46299</v>
      </c>
      <c r="C5" s="167">
        <v>1856.7</v>
      </c>
      <c r="D5" s="59">
        <f t="shared" si="0"/>
        <v>1.1274509803921529E-2</v>
      </c>
      <c r="E5" s="85"/>
      <c r="F5" s="87">
        <v>46299</v>
      </c>
      <c r="G5" s="167">
        <v>22520.45</v>
      </c>
      <c r="H5" s="58">
        <f t="shared" si="1"/>
        <v>4.3930166644738922E-3</v>
      </c>
      <c r="K5" t="s">
        <v>149</v>
      </c>
      <c r="L5" s="97">
        <f>CORREL(D4:D525,H4:H525)</f>
        <v>0.39201461743020122</v>
      </c>
    </row>
    <row r="6" spans="2:12" x14ac:dyDescent="0.45">
      <c r="B6" s="87">
        <v>46292</v>
      </c>
      <c r="C6" s="167">
        <v>1836</v>
      </c>
      <c r="D6" s="59">
        <f t="shared" si="0"/>
        <v>-5.5020845128416318E-2</v>
      </c>
      <c r="E6" s="85"/>
      <c r="F6" s="87">
        <v>46292</v>
      </c>
      <c r="G6" s="167">
        <v>22421.95</v>
      </c>
      <c r="H6" s="58">
        <f t="shared" si="1"/>
        <v>-3.1051619455067958E-2</v>
      </c>
      <c r="K6" t="s">
        <v>150</v>
      </c>
      <c r="L6" s="97">
        <f>_xlfn.STDEV.S(D4:D525)</f>
        <v>2.7986551539091423E-2</v>
      </c>
    </row>
    <row r="7" spans="2:12" x14ac:dyDescent="0.45">
      <c r="B7" s="87">
        <v>46285</v>
      </c>
      <c r="C7" s="167">
        <v>1942.9</v>
      </c>
      <c r="D7" s="59">
        <f t="shared" si="0"/>
        <v>5.6418219461698005E-3</v>
      </c>
      <c r="E7" s="85"/>
      <c r="F7" s="87">
        <v>46285</v>
      </c>
      <c r="G7" s="167">
        <v>23140.5</v>
      </c>
      <c r="H7" s="58">
        <f t="shared" si="1"/>
        <v>-8.8193468800329411E-3</v>
      </c>
      <c r="K7" t="s">
        <v>151</v>
      </c>
      <c r="L7" s="97">
        <f>_xlfn.STDEV.S(H4:H525)</f>
        <v>2.1191335740178695E-2</v>
      </c>
    </row>
    <row r="8" spans="2:12" x14ac:dyDescent="0.45">
      <c r="B8" s="87">
        <v>46278</v>
      </c>
      <c r="C8" s="167">
        <v>1932</v>
      </c>
      <c r="D8" s="59">
        <f t="shared" si="0"/>
        <v>2.5947067981317851E-3</v>
      </c>
      <c r="E8" s="85"/>
      <c r="F8" s="87">
        <v>46278</v>
      </c>
      <c r="G8" s="167">
        <v>23346.400000000001</v>
      </c>
      <c r="H8" s="58">
        <f t="shared" si="1"/>
        <v>-2.2095811198343807E-3</v>
      </c>
      <c r="K8" s="89" t="s">
        <v>152</v>
      </c>
      <c r="L8" s="145">
        <f>L5*(L6/L7)</f>
        <v>0.517718063141546</v>
      </c>
    </row>
    <row r="9" spans="2:12" x14ac:dyDescent="0.45">
      <c r="B9" s="87">
        <v>46271</v>
      </c>
      <c r="C9" s="167">
        <v>1927</v>
      </c>
      <c r="D9" s="59">
        <f t="shared" si="0"/>
        <v>-2.351271916489317E-2</v>
      </c>
      <c r="E9" s="85"/>
      <c r="F9" s="87">
        <v>46271</v>
      </c>
      <c r="G9" s="167">
        <v>23398.1</v>
      </c>
      <c r="H9" s="58">
        <f t="shared" si="1"/>
        <v>-2.0905777543445692E-2</v>
      </c>
      <c r="K9" s="89" t="s">
        <v>153</v>
      </c>
      <c r="L9" s="139">
        <f>L8/(1+('DCF Model'!C4/'DCF Model'!C3)*(1-'DCF Model'!C7))</f>
        <v>0.51638031563746156</v>
      </c>
    </row>
    <row r="10" spans="2:12" x14ac:dyDescent="0.45">
      <c r="B10" s="87">
        <v>46264</v>
      </c>
      <c r="C10" s="167">
        <v>1973.4</v>
      </c>
      <c r="D10" s="59">
        <f t="shared" si="0"/>
        <v>-1.8404297652208523E-2</v>
      </c>
      <c r="E10" s="85"/>
      <c r="F10" s="87">
        <v>46264</v>
      </c>
      <c r="G10" s="167">
        <v>23897.7</v>
      </c>
      <c r="H10" s="58">
        <f t="shared" si="1"/>
        <v>-1.1497105558692322E-2</v>
      </c>
      <c r="K10" s="89" t="s">
        <v>167</v>
      </c>
      <c r="L10" s="145">
        <f>SLOPE(D4:D525,H4:H525)</f>
        <v>0.51771806314154589</v>
      </c>
    </row>
    <row r="11" spans="2:12" x14ac:dyDescent="0.45">
      <c r="B11" s="87">
        <v>46257</v>
      </c>
      <c r="C11" s="167">
        <v>2010.4</v>
      </c>
      <c r="D11" s="59">
        <f t="shared" si="0"/>
        <v>-2.2828784119106604E-3</v>
      </c>
      <c r="E11" s="85"/>
      <c r="F11" s="87">
        <v>46257</v>
      </c>
      <c r="G11" s="167">
        <v>24175.65</v>
      </c>
      <c r="H11" s="58">
        <f t="shared" si="1"/>
        <v>-3.1481939633843936E-3</v>
      </c>
      <c r="L11" s="105"/>
    </row>
    <row r="12" spans="2:12" x14ac:dyDescent="0.45">
      <c r="B12" s="87">
        <v>46250</v>
      </c>
      <c r="C12" s="167">
        <v>2015</v>
      </c>
      <c r="D12" s="59">
        <f t="shared" si="0"/>
        <v>-2.9850746268656692E-2</v>
      </c>
      <c r="E12" s="85"/>
      <c r="F12" s="87">
        <v>46250</v>
      </c>
      <c r="G12" s="167">
        <v>24252</v>
      </c>
      <c r="H12" s="58">
        <f t="shared" si="1"/>
        <v>-4.6786505786752253E-3</v>
      </c>
      <c r="K12" s="105"/>
    </row>
    <row r="13" spans="2:12" x14ac:dyDescent="0.45">
      <c r="B13" s="87">
        <v>46243</v>
      </c>
      <c r="C13" s="167">
        <v>2077</v>
      </c>
      <c r="D13" s="59">
        <f t="shared" si="0"/>
        <v>-9.0648854961832281E-3</v>
      </c>
      <c r="E13" s="85"/>
      <c r="F13" s="87">
        <v>46243</v>
      </c>
      <c r="G13" s="167">
        <v>24366</v>
      </c>
      <c r="H13" s="58">
        <f t="shared" si="1"/>
        <v>-8.3290429842108882E-3</v>
      </c>
    </row>
    <row r="14" spans="2:12" x14ac:dyDescent="0.45">
      <c r="B14" s="87">
        <v>46236</v>
      </c>
      <c r="C14" s="167">
        <v>2096</v>
      </c>
      <c r="D14" s="59">
        <f t="shared" si="0"/>
        <v>-2.5222481321087731E-3</v>
      </c>
      <c r="E14" s="85"/>
      <c r="F14" s="87">
        <v>46236</v>
      </c>
      <c r="G14" s="167">
        <v>24570.65</v>
      </c>
      <c r="H14" s="58">
        <f t="shared" si="1"/>
        <v>7.6711396184321323E-3</v>
      </c>
    </row>
    <row r="15" spans="2:12" x14ac:dyDescent="0.45">
      <c r="B15" s="87">
        <v>46229</v>
      </c>
      <c r="C15" s="167">
        <v>2101.3000000000002</v>
      </c>
      <c r="D15" s="59">
        <f t="shared" si="0"/>
        <v>-2.0372960372960325E-2</v>
      </c>
      <c r="E15" s="85"/>
      <c r="F15" s="87">
        <v>46229</v>
      </c>
      <c r="G15" s="167">
        <v>24383.599999999999</v>
      </c>
      <c r="H15" s="58">
        <f t="shared" si="1"/>
        <v>2.5924110495656683E-2</v>
      </c>
    </row>
    <row r="16" spans="2:12" x14ac:dyDescent="0.45">
      <c r="B16" s="87">
        <v>46222</v>
      </c>
      <c r="C16" s="167">
        <v>2145</v>
      </c>
      <c r="D16" s="59">
        <f t="shared" si="0"/>
        <v>5.5975370836813809E-4</v>
      </c>
      <c r="E16" s="85"/>
      <c r="F16" s="87">
        <v>46222</v>
      </c>
      <c r="G16" s="167">
        <v>23767.45</v>
      </c>
      <c r="H16" s="58">
        <f t="shared" si="1"/>
        <v>-2.3294280090242925E-2</v>
      </c>
    </row>
    <row r="17" spans="2:8" x14ac:dyDescent="0.45">
      <c r="B17" s="87">
        <v>46215</v>
      </c>
      <c r="C17" s="167">
        <v>2143.8000000000002</v>
      </c>
      <c r="D17" s="59">
        <f t="shared" si="0"/>
        <v>-3.1619083046590113E-3</v>
      </c>
      <c r="E17" s="85"/>
      <c r="F17" s="87">
        <v>46215</v>
      </c>
      <c r="G17" s="167">
        <v>24334.3</v>
      </c>
      <c r="H17" s="58">
        <f t="shared" si="1"/>
        <v>5.262962213253175E-3</v>
      </c>
    </row>
    <row r="18" spans="2:8" x14ac:dyDescent="0.45">
      <c r="B18" s="87">
        <v>46208</v>
      </c>
      <c r="C18" s="167">
        <v>2150.6</v>
      </c>
      <c r="D18" s="59">
        <f t="shared" si="0"/>
        <v>-2.2987461384699204E-2</v>
      </c>
      <c r="E18" s="85"/>
      <c r="F18" s="87">
        <v>46208</v>
      </c>
      <c r="G18" s="167">
        <v>24206.9</v>
      </c>
      <c r="H18" s="58">
        <f t="shared" si="1"/>
        <v>-2.6348479760699428E-3</v>
      </c>
    </row>
    <row r="19" spans="2:8" x14ac:dyDescent="0.45">
      <c r="B19" s="87">
        <v>46201</v>
      </c>
      <c r="C19" s="167">
        <v>2201.1999999999998</v>
      </c>
      <c r="D19" s="59">
        <f t="shared" si="0"/>
        <v>1.2418360776377479E-2</v>
      </c>
      <c r="E19" s="85"/>
      <c r="F19" s="87">
        <v>46201</v>
      </c>
      <c r="G19" s="167">
        <v>24270.85</v>
      </c>
      <c r="H19" s="58">
        <f t="shared" si="1"/>
        <v>8.9312437645492349E-3</v>
      </c>
    </row>
    <row r="20" spans="2:8" x14ac:dyDescent="0.45">
      <c r="B20" s="87">
        <v>46194</v>
      </c>
      <c r="C20" s="167">
        <v>2174.1999999999998</v>
      </c>
      <c r="D20" s="59">
        <f t="shared" si="0"/>
        <v>-9.2955436070354391E-3</v>
      </c>
      <c r="E20" s="85"/>
      <c r="F20" s="87">
        <v>46194</v>
      </c>
      <c r="G20" s="167">
        <v>24056</v>
      </c>
      <c r="H20" s="58">
        <f t="shared" si="1"/>
        <v>1.7865248551833801E-3</v>
      </c>
    </row>
    <row r="21" spans="2:8" x14ac:dyDescent="0.45">
      <c r="B21" s="87">
        <v>46187</v>
      </c>
      <c r="C21" s="167">
        <v>2194.6</v>
      </c>
      <c r="D21" s="59">
        <f t="shared" si="0"/>
        <v>1.1895979343415686E-2</v>
      </c>
      <c r="E21" s="85"/>
      <c r="F21" s="87">
        <v>46187</v>
      </c>
      <c r="G21" s="167">
        <v>24013.1</v>
      </c>
      <c r="H21" s="58">
        <f t="shared" si="1"/>
        <v>1.6517870371546062E-2</v>
      </c>
    </row>
    <row r="22" spans="2:8" x14ac:dyDescent="0.45">
      <c r="B22" s="87">
        <v>46180</v>
      </c>
      <c r="C22" s="167">
        <v>2168.8000000000002</v>
      </c>
      <c r="D22" s="59">
        <f t="shared" si="0"/>
        <v>2.2295545604525291E-2</v>
      </c>
      <c r="E22" s="85"/>
      <c r="F22" s="87">
        <v>46180</v>
      </c>
      <c r="G22" s="167">
        <v>23622.9</v>
      </c>
      <c r="H22" s="58">
        <f t="shared" si="1"/>
        <v>1.0964321020940027E-2</v>
      </c>
    </row>
    <row r="23" spans="2:8" x14ac:dyDescent="0.45">
      <c r="B23" s="87">
        <v>46173</v>
      </c>
      <c r="C23" s="167">
        <v>2121.5</v>
      </c>
      <c r="D23" s="59">
        <f t="shared" si="0"/>
        <v>-1.4859530996052972E-2</v>
      </c>
      <c r="E23" s="85"/>
      <c r="F23" s="87">
        <v>46173</v>
      </c>
      <c r="G23" s="167">
        <v>23366.7</v>
      </c>
      <c r="H23" s="58">
        <f t="shared" si="1"/>
        <v>-7.6886326719113329E-3</v>
      </c>
    </row>
    <row r="24" spans="2:8" x14ac:dyDescent="0.45">
      <c r="B24" s="87">
        <v>46166</v>
      </c>
      <c r="C24" s="167">
        <v>2153.5</v>
      </c>
      <c r="D24" s="59">
        <f t="shared" si="0"/>
        <v>-2.2735523688509618E-2</v>
      </c>
      <c r="E24" s="85"/>
      <c r="F24" s="87">
        <v>46166</v>
      </c>
      <c r="G24" s="167">
        <v>23547.75</v>
      </c>
      <c r="H24" s="58">
        <f t="shared" si="1"/>
        <v>-7.2325068615008981E-3</v>
      </c>
    </row>
    <row r="25" spans="2:8" x14ac:dyDescent="0.45">
      <c r="B25" s="87">
        <v>46159</v>
      </c>
      <c r="C25" s="167">
        <v>2203.6</v>
      </c>
      <c r="D25" s="59">
        <f t="shared" si="0"/>
        <v>-3.0191004313000591E-2</v>
      </c>
      <c r="E25" s="85"/>
      <c r="F25" s="87">
        <v>46159</v>
      </c>
      <c r="G25" s="167">
        <v>23719.3</v>
      </c>
      <c r="H25" s="58">
        <f t="shared" si="1"/>
        <v>3.2059551250871454E-3</v>
      </c>
    </row>
    <row r="26" spans="2:8" x14ac:dyDescent="0.45">
      <c r="B26" s="87">
        <v>46152</v>
      </c>
      <c r="C26" s="167">
        <v>2272.1999999999998</v>
      </c>
      <c r="D26" s="59">
        <f t="shared" si="0"/>
        <v>-6.7753639026095769E-3</v>
      </c>
      <c r="E26" s="85"/>
      <c r="F26" s="87">
        <v>46152</v>
      </c>
      <c r="G26" s="167">
        <v>23643.5</v>
      </c>
      <c r="H26" s="58">
        <f t="shared" si="1"/>
        <v>-2.2032043977225579E-2</v>
      </c>
    </row>
    <row r="27" spans="2:8" x14ac:dyDescent="0.45">
      <c r="B27" s="87">
        <v>46145</v>
      </c>
      <c r="C27" s="167">
        <v>2287.6999999999998</v>
      </c>
      <c r="D27" s="59">
        <f t="shared" si="0"/>
        <v>1.6349015949175705E-2</v>
      </c>
      <c r="E27" s="85"/>
      <c r="F27" s="87">
        <v>46145</v>
      </c>
      <c r="G27" s="167">
        <v>24176.15</v>
      </c>
      <c r="H27" s="58">
        <f t="shared" si="1"/>
        <v>7.4424264143633234E-3</v>
      </c>
    </row>
    <row r="28" spans="2:8" x14ac:dyDescent="0.45">
      <c r="B28" s="87">
        <v>46138</v>
      </c>
      <c r="C28" s="167">
        <v>2250.9</v>
      </c>
      <c r="D28" s="59">
        <f t="shared" si="0"/>
        <v>-3.2827740299918418E-2</v>
      </c>
      <c r="E28" s="85"/>
      <c r="F28" s="87">
        <v>46138</v>
      </c>
      <c r="G28" s="167">
        <v>23997.55</v>
      </c>
      <c r="H28" s="58">
        <f t="shared" si="1"/>
        <v>4.167721499124255E-3</v>
      </c>
    </row>
    <row r="29" spans="2:8" x14ac:dyDescent="0.45">
      <c r="B29" s="87">
        <v>46131</v>
      </c>
      <c r="C29" s="167">
        <v>2327.3000000000002</v>
      </c>
      <c r="D29" s="59">
        <f t="shared" si="0"/>
        <v>3.8602284898250572E-2</v>
      </c>
      <c r="E29" s="85"/>
      <c r="F29" s="87">
        <v>46131</v>
      </c>
      <c r="G29" s="167">
        <v>23897.95</v>
      </c>
      <c r="H29" s="58">
        <f t="shared" si="1"/>
        <v>-1.8707744866764742E-2</v>
      </c>
    </row>
    <row r="30" spans="2:8" x14ac:dyDescent="0.45">
      <c r="B30" s="87">
        <v>46124</v>
      </c>
      <c r="C30" s="167">
        <v>2240.8000000000002</v>
      </c>
      <c r="D30" s="59">
        <f t="shared" si="0"/>
        <v>3.9669651556627938E-2</v>
      </c>
      <c r="E30" s="85"/>
      <c r="F30" s="87">
        <v>46124</v>
      </c>
      <c r="G30" s="167">
        <v>24353.55</v>
      </c>
      <c r="H30" s="58">
        <f t="shared" si="1"/>
        <v>1.2596359342386565E-2</v>
      </c>
    </row>
    <row r="31" spans="2:8" x14ac:dyDescent="0.45">
      <c r="B31" s="87">
        <v>46117</v>
      </c>
      <c r="C31" s="167">
        <v>2155.3000000000002</v>
      </c>
      <c r="D31" s="59">
        <f t="shared" si="0"/>
        <v>4.3577204280249804E-2</v>
      </c>
      <c r="E31" s="85"/>
      <c r="F31" s="87">
        <v>46117</v>
      </c>
      <c r="G31" s="167">
        <v>24050.6</v>
      </c>
      <c r="H31" s="58">
        <f t="shared" si="1"/>
        <v>5.8886721759689342E-2</v>
      </c>
    </row>
    <row r="32" spans="2:8" x14ac:dyDescent="0.45">
      <c r="B32" s="87">
        <v>46110</v>
      </c>
      <c r="C32" s="167">
        <v>2065.3000000000002</v>
      </c>
      <c r="D32" s="59">
        <f t="shared" si="0"/>
        <v>-4.3868106440415611E-3</v>
      </c>
      <c r="E32" s="85"/>
      <c r="F32" s="87">
        <v>46110</v>
      </c>
      <c r="G32" s="167">
        <v>22713.1</v>
      </c>
      <c r="H32" s="58">
        <f t="shared" si="1"/>
        <v>-4.6670406142088616E-3</v>
      </c>
    </row>
    <row r="33" spans="2:8" x14ac:dyDescent="0.45">
      <c r="B33" s="87">
        <v>46103</v>
      </c>
      <c r="C33" s="167">
        <v>2074.4</v>
      </c>
      <c r="D33" s="59">
        <f t="shared" si="0"/>
        <v>-3.9852115042972036E-3</v>
      </c>
      <c r="E33" s="85"/>
      <c r="F33" s="87">
        <v>46103</v>
      </c>
      <c r="G33" s="167">
        <v>22819.599999999999</v>
      </c>
      <c r="H33" s="58">
        <f t="shared" si="1"/>
        <v>-1.275822535637805E-2</v>
      </c>
    </row>
    <row r="34" spans="2:8" x14ac:dyDescent="0.45">
      <c r="B34" s="87">
        <v>46096</v>
      </c>
      <c r="C34" s="167">
        <v>2082.6999999999998</v>
      </c>
      <c r="D34" s="59">
        <f t="shared" si="0"/>
        <v>-3.5787037037037117E-2</v>
      </c>
      <c r="E34" s="85"/>
      <c r="F34" s="87">
        <v>46096</v>
      </c>
      <c r="G34" s="167">
        <v>23114.5</v>
      </c>
      <c r="H34" s="58">
        <f t="shared" si="1"/>
        <v>-1.5809184012853805E-3</v>
      </c>
    </row>
    <row r="35" spans="2:8" x14ac:dyDescent="0.45">
      <c r="B35" s="87">
        <v>46089</v>
      </c>
      <c r="C35" s="167">
        <v>2160</v>
      </c>
      <c r="D35" s="59">
        <f t="shared" si="0"/>
        <v>-2.9518803073190325E-2</v>
      </c>
      <c r="E35" s="85"/>
      <c r="F35" s="87">
        <v>46089</v>
      </c>
      <c r="G35" s="167">
        <v>23151.1</v>
      </c>
      <c r="H35" s="58">
        <f t="shared" si="1"/>
        <v>-5.3142171207482991E-2</v>
      </c>
    </row>
    <row r="36" spans="2:8" x14ac:dyDescent="0.45">
      <c r="B36" s="87">
        <v>46082</v>
      </c>
      <c r="C36" s="167">
        <v>2225.6999999999998</v>
      </c>
      <c r="D36" s="59">
        <f t="shared" si="0"/>
        <v>-4.8073221846798742E-2</v>
      </c>
      <c r="E36" s="85"/>
      <c r="F36" s="87">
        <v>46082</v>
      </c>
      <c r="G36" s="167">
        <v>24450.45</v>
      </c>
      <c r="H36" s="58">
        <f t="shared" si="1"/>
        <v>-2.892132818876314E-2</v>
      </c>
    </row>
    <row r="37" spans="2:8" x14ac:dyDescent="0.45">
      <c r="B37" s="87">
        <v>46075</v>
      </c>
      <c r="C37" s="167">
        <v>2338.1</v>
      </c>
      <c r="D37" s="59">
        <f t="shared" si="0"/>
        <v>1.0196586735796043E-2</v>
      </c>
      <c r="E37" s="85"/>
      <c r="F37" s="87">
        <v>46075</v>
      </c>
      <c r="G37" s="167">
        <v>25178.65</v>
      </c>
      <c r="H37" s="58">
        <f t="shared" si="1"/>
        <v>-1.5353179840641329E-2</v>
      </c>
    </row>
    <row r="38" spans="2:8" x14ac:dyDescent="0.45">
      <c r="B38" s="87">
        <v>46068</v>
      </c>
      <c r="C38" s="167">
        <v>2314.5</v>
      </c>
      <c r="D38" s="59">
        <f t="shared" si="0"/>
        <v>4.0343571056742356E-3</v>
      </c>
      <c r="E38" s="85"/>
      <c r="F38" s="87">
        <v>46068</v>
      </c>
      <c r="G38" s="167">
        <v>25571.25</v>
      </c>
      <c r="H38" s="58">
        <f t="shared" si="1"/>
        <v>3.9319071418195684E-3</v>
      </c>
    </row>
    <row r="39" spans="2:8" x14ac:dyDescent="0.45">
      <c r="B39" s="87">
        <v>46061</v>
      </c>
      <c r="C39" s="167">
        <v>2305.1999999999998</v>
      </c>
      <c r="D39" s="59">
        <f t="shared" si="0"/>
        <v>-4.9088359046283281E-2</v>
      </c>
      <c r="E39" s="85"/>
      <c r="F39" s="87">
        <v>46061</v>
      </c>
      <c r="G39" s="167">
        <v>25471.1</v>
      </c>
      <c r="H39" s="58">
        <f t="shared" si="1"/>
        <v>-8.6636023616685209E-3</v>
      </c>
    </row>
    <row r="40" spans="2:8" x14ac:dyDescent="0.45">
      <c r="B40" s="87">
        <v>46054</v>
      </c>
      <c r="C40" s="167">
        <v>2424.1999999999998</v>
      </c>
      <c r="D40" s="59">
        <f t="shared" si="0"/>
        <v>2.1576064053940192E-2</v>
      </c>
      <c r="E40" s="85"/>
      <c r="F40" s="87">
        <v>46054</v>
      </c>
      <c r="G40" s="167">
        <v>25693.7</v>
      </c>
      <c r="H40" s="58">
        <f t="shared" si="1"/>
        <v>1.4733034104574605E-2</v>
      </c>
    </row>
    <row r="41" spans="2:8" x14ac:dyDescent="0.45">
      <c r="B41" s="87">
        <v>46047</v>
      </c>
      <c r="C41" s="167">
        <v>2373</v>
      </c>
      <c r="D41" s="59">
        <f t="shared" si="0"/>
        <v>-1.5148371031334262E-2</v>
      </c>
      <c r="E41" s="85"/>
      <c r="F41" s="87">
        <v>46047</v>
      </c>
      <c r="G41" s="167">
        <v>25320.65</v>
      </c>
      <c r="H41" s="58">
        <f t="shared" si="1"/>
        <v>1.0858868641623332E-2</v>
      </c>
    </row>
    <row r="42" spans="2:8" x14ac:dyDescent="0.45">
      <c r="B42" s="87">
        <v>46040</v>
      </c>
      <c r="C42" s="167">
        <v>2409.5</v>
      </c>
      <c r="D42" s="59">
        <f t="shared" si="0"/>
        <v>2.08015590577868E-2</v>
      </c>
      <c r="E42" s="85"/>
      <c r="F42" s="87">
        <v>46040</v>
      </c>
      <c r="G42" s="167">
        <v>25048.65</v>
      </c>
      <c r="H42" s="58">
        <f t="shared" si="1"/>
        <v>-2.5130038315816394E-2</v>
      </c>
    </row>
    <row r="43" spans="2:8" x14ac:dyDescent="0.45">
      <c r="B43" s="87">
        <v>46033</v>
      </c>
      <c r="C43" s="167">
        <v>2360.4</v>
      </c>
      <c r="D43" s="59">
        <f t="shared" si="0"/>
        <v>-5.1420382702519474E-3</v>
      </c>
      <c r="E43" s="85"/>
      <c r="F43" s="87">
        <v>46033</v>
      </c>
      <c r="G43" s="167">
        <v>25694.35</v>
      </c>
      <c r="H43" s="58">
        <f t="shared" si="1"/>
        <v>4.3024066222008273E-4</v>
      </c>
    </row>
    <row r="44" spans="2:8" x14ac:dyDescent="0.45">
      <c r="B44" s="87">
        <v>46026</v>
      </c>
      <c r="C44" s="167">
        <v>2372.6</v>
      </c>
      <c r="D44" s="59">
        <f t="shared" si="0"/>
        <v>1.0477001703577571E-2</v>
      </c>
      <c r="E44" s="85"/>
      <c r="F44" s="87">
        <v>46026</v>
      </c>
      <c r="G44" s="167">
        <v>25683.3</v>
      </c>
      <c r="H44" s="58">
        <f t="shared" si="1"/>
        <v>-2.4507616256877029E-2</v>
      </c>
    </row>
    <row r="45" spans="2:8" x14ac:dyDescent="0.45">
      <c r="B45" s="87">
        <v>46019</v>
      </c>
      <c r="C45" s="167">
        <v>2348</v>
      </c>
      <c r="D45" s="59">
        <f t="shared" si="0"/>
        <v>2.7391266299116035E-2</v>
      </c>
      <c r="E45" s="85"/>
      <c r="F45" s="87">
        <v>46019</v>
      </c>
      <c r="G45" s="167">
        <v>26328.55</v>
      </c>
      <c r="H45" s="58">
        <f t="shared" si="1"/>
        <v>1.0991732681061128E-2</v>
      </c>
    </row>
    <row r="46" spans="2:8" x14ac:dyDescent="0.45">
      <c r="B46" s="87">
        <v>46012</v>
      </c>
      <c r="C46" s="167">
        <v>2285.4</v>
      </c>
      <c r="D46" s="59">
        <f t="shared" si="0"/>
        <v>2.3684210526315752E-3</v>
      </c>
      <c r="E46" s="85"/>
      <c r="F46" s="87">
        <v>46012</v>
      </c>
      <c r="G46" s="167">
        <v>26042.3</v>
      </c>
      <c r="H46" s="58">
        <f t="shared" si="1"/>
        <v>2.9230081952060782E-3</v>
      </c>
    </row>
    <row r="47" spans="2:8" x14ac:dyDescent="0.45">
      <c r="B47" s="87">
        <v>46005</v>
      </c>
      <c r="C47" s="167">
        <v>2280</v>
      </c>
      <c r="D47" s="59">
        <f t="shared" si="0"/>
        <v>8.5817924444837601E-3</v>
      </c>
      <c r="E47" s="85"/>
      <c r="F47" s="87">
        <v>46005</v>
      </c>
      <c r="G47" s="167">
        <v>25966.400000000001</v>
      </c>
      <c r="H47" s="58">
        <f t="shared" si="1"/>
        <v>-3.0924925951022475E-3</v>
      </c>
    </row>
    <row r="48" spans="2:8" x14ac:dyDescent="0.45">
      <c r="B48" s="87">
        <v>45998</v>
      </c>
      <c r="C48" s="167">
        <v>2260.6</v>
      </c>
      <c r="D48" s="59">
        <f t="shared" si="0"/>
        <v>-3.335328829214057E-2</v>
      </c>
      <c r="E48" s="85"/>
      <c r="F48" s="87">
        <v>45998</v>
      </c>
      <c r="G48" s="167">
        <v>26046.95</v>
      </c>
      <c r="H48" s="58">
        <f t="shared" si="1"/>
        <v>-5.3271825696113995E-3</v>
      </c>
    </row>
    <row r="49" spans="2:8" x14ac:dyDescent="0.45">
      <c r="B49" s="87">
        <v>45991</v>
      </c>
      <c r="C49" s="167">
        <v>2338.6</v>
      </c>
      <c r="D49" s="59">
        <f t="shared" si="0"/>
        <v>-3.6157488882386124E-2</v>
      </c>
      <c r="E49" s="85"/>
      <c r="F49" s="87">
        <v>45991</v>
      </c>
      <c r="G49" s="167">
        <v>26186.45</v>
      </c>
      <c r="H49" s="58">
        <f t="shared" si="1"/>
        <v>-6.297000910202577E-4</v>
      </c>
    </row>
    <row r="50" spans="2:8" x14ac:dyDescent="0.45">
      <c r="B50" s="87">
        <v>45984</v>
      </c>
      <c r="C50" s="167">
        <v>2426.33</v>
      </c>
      <c r="D50" s="59">
        <f t="shared" si="0"/>
        <v>1.3517295538373553E-2</v>
      </c>
      <c r="E50" s="85"/>
      <c r="F50" s="87">
        <v>45984</v>
      </c>
      <c r="G50" s="167">
        <v>26202.95</v>
      </c>
      <c r="H50" s="58">
        <f t="shared" si="1"/>
        <v>5.1710612375637233E-3</v>
      </c>
    </row>
    <row r="51" spans="2:8" x14ac:dyDescent="0.45">
      <c r="B51" s="87">
        <v>45977</v>
      </c>
      <c r="C51" s="167">
        <v>2393.9699999999998</v>
      </c>
      <c r="D51" s="59">
        <f t="shared" si="0"/>
        <v>2.4748121906483789E-3</v>
      </c>
      <c r="E51" s="85"/>
      <c r="F51" s="87">
        <v>45977</v>
      </c>
      <c r="G51" s="167">
        <v>26068.15</v>
      </c>
      <c r="H51" s="58">
        <f t="shared" si="1"/>
        <v>6.1018793865701415E-3</v>
      </c>
    </row>
    <row r="52" spans="2:8" x14ac:dyDescent="0.45">
      <c r="B52" s="87">
        <v>45970</v>
      </c>
      <c r="C52" s="167">
        <v>2388.06</v>
      </c>
      <c r="D52" s="59">
        <f t="shared" si="0"/>
        <v>-1.0745650372825155E-2</v>
      </c>
      <c r="E52" s="85"/>
      <c r="F52" s="87">
        <v>45970</v>
      </c>
      <c r="G52" s="167">
        <v>25910.05</v>
      </c>
      <c r="H52" s="58">
        <f t="shared" si="1"/>
        <v>1.6387301263518728E-2</v>
      </c>
    </row>
    <row r="53" spans="2:8" x14ac:dyDescent="0.45">
      <c r="B53" s="87">
        <v>45963</v>
      </c>
      <c r="C53" s="167">
        <v>2414</v>
      </c>
      <c r="D53" s="59">
        <f t="shared" si="0"/>
        <v>-2.0888257959845835E-2</v>
      </c>
      <c r="E53" s="85"/>
      <c r="F53" s="87">
        <v>45963</v>
      </c>
      <c r="G53" s="167">
        <v>25492.3</v>
      </c>
      <c r="H53" s="58">
        <f t="shared" si="1"/>
        <v>-8.9339517379996014E-3</v>
      </c>
    </row>
    <row r="54" spans="2:8" x14ac:dyDescent="0.45">
      <c r="B54" s="87">
        <v>45956</v>
      </c>
      <c r="C54" s="167">
        <v>2465.5</v>
      </c>
      <c r="D54" s="59">
        <f t="shared" si="0"/>
        <v>-2.0227308853918324E-2</v>
      </c>
      <c r="E54" s="85"/>
      <c r="F54" s="87">
        <v>45956</v>
      </c>
      <c r="G54" s="167">
        <v>25722.1</v>
      </c>
      <c r="H54" s="58">
        <f t="shared" si="1"/>
        <v>-2.8319277073404203E-3</v>
      </c>
    </row>
    <row r="55" spans="2:8" x14ac:dyDescent="0.45">
      <c r="B55" s="87">
        <v>45949</v>
      </c>
      <c r="C55" s="167">
        <v>2516.4</v>
      </c>
      <c r="D55" s="59">
        <f t="shared" si="0"/>
        <v>-3.3529208434151303E-2</v>
      </c>
      <c r="E55" s="85"/>
      <c r="F55" s="87">
        <v>45949</v>
      </c>
      <c r="G55" s="167">
        <v>25795.15</v>
      </c>
      <c r="H55" s="58">
        <f t="shared" si="1"/>
        <v>3.3177945417808274E-3</v>
      </c>
    </row>
    <row r="56" spans="2:8" x14ac:dyDescent="0.45">
      <c r="B56" s="87">
        <v>45942</v>
      </c>
      <c r="C56" s="167">
        <v>2603.6999999999998</v>
      </c>
      <c r="D56" s="59">
        <f t="shared" si="0"/>
        <v>2.9578077424967208E-2</v>
      </c>
      <c r="E56" s="85"/>
      <c r="F56" s="87">
        <v>45942</v>
      </c>
      <c r="G56" s="167">
        <v>25709.85</v>
      </c>
      <c r="H56" s="58">
        <f t="shared" si="1"/>
        <v>1.6788377459675319E-2</v>
      </c>
    </row>
    <row r="57" spans="2:8" x14ac:dyDescent="0.45">
      <c r="B57" s="87">
        <v>45935</v>
      </c>
      <c r="C57" s="167">
        <v>2528.9</v>
      </c>
      <c r="D57" s="59">
        <f t="shared" si="0"/>
        <v>-6.2870839718652816E-3</v>
      </c>
      <c r="E57" s="85"/>
      <c r="F57" s="87">
        <v>45935</v>
      </c>
      <c r="G57" s="167">
        <v>25285.35</v>
      </c>
      <c r="H57" s="58">
        <f t="shared" si="1"/>
        <v>1.5710455225604214E-2</v>
      </c>
    </row>
    <row r="58" spans="2:8" x14ac:dyDescent="0.45">
      <c r="B58" s="87">
        <v>45928</v>
      </c>
      <c r="C58" s="167">
        <v>2544.9</v>
      </c>
      <c r="D58" s="59">
        <f t="shared" si="0"/>
        <v>1.3177800780316939E-2</v>
      </c>
      <c r="E58" s="85"/>
      <c r="F58" s="87">
        <v>45928</v>
      </c>
      <c r="G58" s="167">
        <v>24894.25</v>
      </c>
      <c r="H58" s="58">
        <f t="shared" si="1"/>
        <v>9.7162001565624934E-3</v>
      </c>
    </row>
    <row r="59" spans="2:8" x14ac:dyDescent="0.45">
      <c r="B59" s="87">
        <v>45921</v>
      </c>
      <c r="C59" s="167">
        <v>2511.8000000000002</v>
      </c>
      <c r="D59" s="59">
        <f t="shared" si="0"/>
        <v>-1.8674792936396178E-2</v>
      </c>
      <c r="E59" s="85"/>
      <c r="F59" s="87">
        <v>45921</v>
      </c>
      <c r="G59" s="167">
        <v>24654.7</v>
      </c>
      <c r="H59" s="58">
        <f t="shared" si="1"/>
        <v>-2.6546715863079107E-2</v>
      </c>
    </row>
    <row r="60" spans="2:8" x14ac:dyDescent="0.45">
      <c r="B60" s="87">
        <v>45914</v>
      </c>
      <c r="C60" s="167">
        <v>2559.6</v>
      </c>
      <c r="D60" s="59">
        <f t="shared" si="0"/>
        <v>-8.0992055803139618E-3</v>
      </c>
      <c r="E60" s="85"/>
      <c r="F60" s="87">
        <v>45914</v>
      </c>
      <c r="G60" s="167">
        <v>25327.05</v>
      </c>
      <c r="H60" s="58">
        <f t="shared" si="1"/>
        <v>8.4833160786812467E-3</v>
      </c>
    </row>
    <row r="61" spans="2:8" x14ac:dyDescent="0.45">
      <c r="B61" s="87">
        <v>45907</v>
      </c>
      <c r="C61" s="167">
        <v>2580.5</v>
      </c>
      <c r="D61" s="59">
        <f t="shared" si="0"/>
        <v>-2.0088099035467488E-2</v>
      </c>
      <c r="E61" s="85"/>
      <c r="F61" s="87">
        <v>45907</v>
      </c>
      <c r="G61" s="167">
        <v>25114</v>
      </c>
      <c r="H61" s="58">
        <f t="shared" si="1"/>
        <v>1.5076189321369338E-2</v>
      </c>
    </row>
    <row r="62" spans="2:8" x14ac:dyDescent="0.45">
      <c r="B62" s="87">
        <v>45900</v>
      </c>
      <c r="C62" s="167">
        <v>2633.4</v>
      </c>
      <c r="D62" s="59">
        <f t="shared" si="0"/>
        <v>-9.9255583126550695E-3</v>
      </c>
      <c r="E62" s="85"/>
      <c r="F62" s="87">
        <v>45900</v>
      </c>
      <c r="G62" s="167">
        <v>24741</v>
      </c>
      <c r="H62" s="58">
        <f t="shared" si="1"/>
        <v>1.2860847796584585E-2</v>
      </c>
    </row>
    <row r="63" spans="2:8" x14ac:dyDescent="0.45">
      <c r="B63" s="87">
        <v>45893</v>
      </c>
      <c r="C63" s="167">
        <v>2659.8</v>
      </c>
      <c r="D63" s="59">
        <f t="shared" si="0"/>
        <v>1.1369253583786598E-2</v>
      </c>
      <c r="E63" s="85"/>
      <c r="F63" s="87">
        <v>45893</v>
      </c>
      <c r="G63" s="167">
        <v>24426.85</v>
      </c>
      <c r="H63" s="58">
        <f t="shared" si="1"/>
        <v>-1.7822606262138052E-2</v>
      </c>
    </row>
    <row r="64" spans="2:8" x14ac:dyDescent="0.45">
      <c r="B64" s="87">
        <v>45886</v>
      </c>
      <c r="C64" s="167">
        <v>2629.9</v>
      </c>
      <c r="D64" s="59">
        <f t="shared" si="0"/>
        <v>6.0187051519793755E-2</v>
      </c>
      <c r="E64" s="85"/>
      <c r="F64" s="87">
        <v>45886</v>
      </c>
      <c r="G64" s="167">
        <v>24870.1</v>
      </c>
      <c r="H64" s="58">
        <f t="shared" si="1"/>
        <v>9.6949815884666002E-3</v>
      </c>
    </row>
    <row r="65" spans="2:8" x14ac:dyDescent="0.45">
      <c r="B65" s="87">
        <v>45879</v>
      </c>
      <c r="C65" s="167">
        <v>2480.6</v>
      </c>
      <c r="D65" s="59">
        <f t="shared" si="0"/>
        <v>-7.2040342591851436E-3</v>
      </c>
      <c r="E65" s="85"/>
      <c r="F65" s="87">
        <v>45879</v>
      </c>
      <c r="G65" s="167">
        <v>24631.3</v>
      </c>
      <c r="H65" s="58">
        <f t="shared" si="1"/>
        <v>1.100015186776826E-2</v>
      </c>
    </row>
    <row r="66" spans="2:8" x14ac:dyDescent="0.45">
      <c r="B66" s="87">
        <v>45872</v>
      </c>
      <c r="C66" s="167">
        <v>2498.6</v>
      </c>
      <c r="D66" s="59">
        <f t="shared" si="0"/>
        <v>-2.1576536006578606E-2</v>
      </c>
      <c r="E66" s="85"/>
      <c r="F66" s="87">
        <v>45872</v>
      </c>
      <c r="G66" s="167">
        <v>24363.3</v>
      </c>
      <c r="H66" s="58">
        <f t="shared" si="1"/>
        <v>-8.2249998473459263E-3</v>
      </c>
    </row>
    <row r="67" spans="2:8" x14ac:dyDescent="0.45">
      <c r="B67" s="87">
        <v>45865</v>
      </c>
      <c r="C67" s="167">
        <v>2553.6999999999998</v>
      </c>
      <c r="D67" s="59">
        <f t="shared" si="0"/>
        <v>5.7257597085368817E-2</v>
      </c>
      <c r="E67" s="85"/>
      <c r="F67" s="87">
        <v>45865</v>
      </c>
      <c r="G67" s="167">
        <v>24565.35</v>
      </c>
      <c r="H67" s="58">
        <f t="shared" si="1"/>
        <v>-1.0937311269477057E-2</v>
      </c>
    </row>
    <row r="68" spans="2:8" x14ac:dyDescent="0.45">
      <c r="B68" s="87">
        <v>45858</v>
      </c>
      <c r="C68" s="167">
        <v>2415.4</v>
      </c>
      <c r="D68" s="59">
        <f t="shared" ref="D68:D131" si="2">IFERROR((C68/C69)-1,0)</f>
        <v>-2.980398457583544E-2</v>
      </c>
      <c r="E68" s="85"/>
      <c r="F68" s="87">
        <v>45858</v>
      </c>
      <c r="G68" s="167">
        <v>24837</v>
      </c>
      <c r="H68" s="58">
        <f t="shared" ref="H68:H131" si="3">IFERROR((G68/G69)-1,0)</f>
        <v>-5.2626519921180615E-3</v>
      </c>
    </row>
    <row r="69" spans="2:8" x14ac:dyDescent="0.45">
      <c r="B69" s="87">
        <v>45851</v>
      </c>
      <c r="C69" s="167">
        <v>2489.6</v>
      </c>
      <c r="D69" s="59">
        <f t="shared" si="2"/>
        <v>-1.1906651849499905E-2</v>
      </c>
      <c r="E69" s="85"/>
      <c r="F69" s="87">
        <v>45851</v>
      </c>
      <c r="G69" s="167">
        <v>24968.400000000001</v>
      </c>
      <c r="H69" s="58">
        <f t="shared" si="3"/>
        <v>-7.214754759968578E-3</v>
      </c>
    </row>
    <row r="70" spans="2:8" x14ac:dyDescent="0.45">
      <c r="B70" s="87">
        <v>45844</v>
      </c>
      <c r="C70" s="167">
        <v>2519.6</v>
      </c>
      <c r="D70" s="59">
        <f t="shared" si="2"/>
        <v>7.7074338477322257E-2</v>
      </c>
      <c r="E70" s="85"/>
      <c r="F70" s="87">
        <v>45844</v>
      </c>
      <c r="G70" s="167">
        <v>25149.85</v>
      </c>
      <c r="H70" s="58">
        <f t="shared" si="3"/>
        <v>-1.2220651192019205E-2</v>
      </c>
    </row>
    <row r="71" spans="2:8" x14ac:dyDescent="0.45">
      <c r="B71" s="87">
        <v>45837</v>
      </c>
      <c r="C71" s="167">
        <v>2339.3000000000002</v>
      </c>
      <c r="D71" s="59">
        <f t="shared" si="2"/>
        <v>1.4044822055572448E-2</v>
      </c>
      <c r="E71" s="85"/>
      <c r="F71" s="87">
        <v>45837</v>
      </c>
      <c r="G71" s="167">
        <v>25461</v>
      </c>
      <c r="H71" s="58">
        <f t="shared" si="3"/>
        <v>-6.8960675252947023E-3</v>
      </c>
    </row>
    <row r="72" spans="2:8" x14ac:dyDescent="0.45">
      <c r="B72" s="87">
        <v>45830</v>
      </c>
      <c r="C72" s="167">
        <v>2306.9</v>
      </c>
      <c r="D72" s="59">
        <f t="shared" si="2"/>
        <v>3.0352961581825433E-4</v>
      </c>
      <c r="E72" s="85"/>
      <c r="F72" s="87">
        <v>45830</v>
      </c>
      <c r="G72" s="167">
        <v>25637.8</v>
      </c>
      <c r="H72" s="58">
        <f t="shared" si="3"/>
        <v>2.092193498032846E-2</v>
      </c>
    </row>
    <row r="73" spans="2:8" x14ac:dyDescent="0.45">
      <c r="B73" s="87">
        <v>45823</v>
      </c>
      <c r="C73" s="167">
        <v>2306.1999999999998</v>
      </c>
      <c r="D73" s="59">
        <f t="shared" si="2"/>
        <v>-5.5196205260888975E-3</v>
      </c>
      <c r="E73" s="85"/>
      <c r="F73" s="87">
        <v>45823</v>
      </c>
      <c r="G73" s="167">
        <v>25112.400000000001</v>
      </c>
      <c r="H73" s="58">
        <f t="shared" si="3"/>
        <v>1.5931322971365791E-2</v>
      </c>
    </row>
    <row r="74" spans="2:8" x14ac:dyDescent="0.45">
      <c r="B74" s="87">
        <v>45816</v>
      </c>
      <c r="C74" s="167">
        <v>2319</v>
      </c>
      <c r="D74" s="59">
        <f t="shared" si="2"/>
        <v>-2.9625910118001531E-2</v>
      </c>
      <c r="E74" s="85"/>
      <c r="F74" s="87">
        <v>45816</v>
      </c>
      <c r="G74" s="167">
        <v>24718.6</v>
      </c>
      <c r="H74" s="58">
        <f t="shared" si="3"/>
        <v>-1.1376612053329516E-2</v>
      </c>
    </row>
    <row r="75" spans="2:8" x14ac:dyDescent="0.45">
      <c r="B75" s="87">
        <v>45809</v>
      </c>
      <c r="C75" s="167">
        <v>2389.8000000000002</v>
      </c>
      <c r="D75" s="59">
        <f t="shared" si="2"/>
        <v>1.7672358727590209E-2</v>
      </c>
      <c r="E75" s="85"/>
      <c r="F75" s="87">
        <v>45809</v>
      </c>
      <c r="G75" s="167">
        <v>25003.05</v>
      </c>
      <c r="H75" s="58">
        <f t="shared" si="3"/>
        <v>1.0195671233540704E-2</v>
      </c>
    </row>
    <row r="76" spans="2:8" x14ac:dyDescent="0.45">
      <c r="B76" s="87">
        <v>45802</v>
      </c>
      <c r="C76" s="167">
        <v>2348.3000000000002</v>
      </c>
      <c r="D76" s="59">
        <f t="shared" si="2"/>
        <v>-4.6202102407594259E-3</v>
      </c>
      <c r="E76" s="85"/>
      <c r="F76" s="87">
        <v>45802</v>
      </c>
      <c r="G76" s="167">
        <v>24750.7</v>
      </c>
      <c r="H76" s="58">
        <f t="shared" si="3"/>
        <v>-4.1222138843567402E-3</v>
      </c>
    </row>
    <row r="77" spans="2:8" x14ac:dyDescent="0.45">
      <c r="B77" s="87">
        <v>45795</v>
      </c>
      <c r="C77" s="167">
        <v>2359.1999999999998</v>
      </c>
      <c r="D77" s="59">
        <f t="shared" si="2"/>
        <v>-9.3222474174856629E-3</v>
      </c>
      <c r="E77" s="85"/>
      <c r="F77" s="87">
        <v>45795</v>
      </c>
      <c r="G77" s="167">
        <v>24853.15</v>
      </c>
      <c r="H77" s="58">
        <f t="shared" si="3"/>
        <v>-6.660724706032739E-3</v>
      </c>
    </row>
    <row r="78" spans="2:8" x14ac:dyDescent="0.45">
      <c r="B78" s="87">
        <v>45788</v>
      </c>
      <c r="C78" s="167">
        <v>2381.4</v>
      </c>
      <c r="D78" s="59">
        <f t="shared" si="2"/>
        <v>2.0789575206824118E-2</v>
      </c>
      <c r="E78" s="85"/>
      <c r="F78" s="87">
        <v>45788</v>
      </c>
      <c r="G78" s="167">
        <v>25019.8</v>
      </c>
      <c r="H78" s="58">
        <f t="shared" si="3"/>
        <v>4.2144285238253865E-2</v>
      </c>
    </row>
    <row r="79" spans="2:8" x14ac:dyDescent="0.45">
      <c r="B79" s="87">
        <v>45781</v>
      </c>
      <c r="C79" s="167">
        <v>2332.9</v>
      </c>
      <c r="D79" s="59">
        <f t="shared" si="2"/>
        <v>3.8728000344248059E-3</v>
      </c>
      <c r="E79" s="85"/>
      <c r="F79" s="87">
        <v>45781</v>
      </c>
      <c r="G79" s="167">
        <v>24008</v>
      </c>
      <c r="H79" s="58">
        <f t="shared" si="3"/>
        <v>-1.391153626569519E-2</v>
      </c>
    </row>
    <row r="80" spans="2:8" x14ac:dyDescent="0.45">
      <c r="B80" s="87">
        <v>45774</v>
      </c>
      <c r="C80" s="167">
        <v>2323.9</v>
      </c>
      <c r="D80" s="59">
        <f t="shared" si="2"/>
        <v>-3.5588714518479669E-3</v>
      </c>
      <c r="E80" s="85"/>
      <c r="F80" s="87">
        <v>45774</v>
      </c>
      <c r="G80" s="167">
        <v>24346.7</v>
      </c>
      <c r="H80" s="58">
        <f t="shared" si="3"/>
        <v>1.2785287455775673E-2</v>
      </c>
    </row>
    <row r="81" spans="2:8" x14ac:dyDescent="0.45">
      <c r="B81" s="87">
        <v>45767</v>
      </c>
      <c r="C81" s="167">
        <v>2332.1999999999998</v>
      </c>
      <c r="D81" s="59">
        <f t="shared" si="2"/>
        <v>-1.8021052631579049E-2</v>
      </c>
      <c r="E81" s="85"/>
      <c r="F81" s="87">
        <v>45767</v>
      </c>
      <c r="G81" s="167">
        <v>24039.35</v>
      </c>
      <c r="H81" s="58">
        <f t="shared" si="3"/>
        <v>7.86947653516612E-3</v>
      </c>
    </row>
    <row r="82" spans="2:8" x14ac:dyDescent="0.45">
      <c r="B82" s="87">
        <v>45760</v>
      </c>
      <c r="C82" s="167">
        <v>2375</v>
      </c>
      <c r="D82" s="59">
        <f t="shared" si="2"/>
        <v>3.740253153857509E-3</v>
      </c>
      <c r="E82" s="85"/>
      <c r="F82" s="87">
        <v>45760</v>
      </c>
      <c r="G82" s="167">
        <v>23851.65</v>
      </c>
      <c r="H82" s="58">
        <f t="shared" si="3"/>
        <v>4.4816687875489425E-2</v>
      </c>
    </row>
    <row r="83" spans="2:8" x14ac:dyDescent="0.45">
      <c r="B83" s="87">
        <v>45753</v>
      </c>
      <c r="C83" s="167">
        <v>2366.15</v>
      </c>
      <c r="D83" s="59">
        <f t="shared" si="2"/>
        <v>5.417566995611578E-2</v>
      </c>
      <c r="E83" s="85"/>
      <c r="F83" s="87">
        <v>45753</v>
      </c>
      <c r="G83" s="167">
        <v>22828.55</v>
      </c>
      <c r="H83" s="58">
        <f t="shared" si="3"/>
        <v>-3.3137665388167648E-3</v>
      </c>
    </row>
    <row r="84" spans="2:8" x14ac:dyDescent="0.45">
      <c r="B84" s="87">
        <v>45746</v>
      </c>
      <c r="C84" s="167">
        <v>2244.5500000000002</v>
      </c>
      <c r="D84" s="59">
        <f t="shared" si="2"/>
        <v>-6.3306549793035183E-3</v>
      </c>
      <c r="E84" s="85"/>
      <c r="F84" s="87">
        <v>45746</v>
      </c>
      <c r="G84" s="167">
        <v>22904.45</v>
      </c>
      <c r="H84" s="58">
        <f t="shared" si="3"/>
        <v>-2.6144430011883713E-2</v>
      </c>
    </row>
    <row r="85" spans="2:8" x14ac:dyDescent="0.45">
      <c r="B85" s="87">
        <v>45739</v>
      </c>
      <c r="C85" s="167">
        <v>2258.85</v>
      </c>
      <c r="D85" s="59">
        <f t="shared" si="2"/>
        <v>5.631733594515298E-3</v>
      </c>
      <c r="E85" s="85"/>
      <c r="F85" s="87">
        <v>45739</v>
      </c>
      <c r="G85" s="167">
        <v>23519.35</v>
      </c>
      <c r="H85" s="58">
        <f t="shared" si="3"/>
        <v>7.2354220912702605E-3</v>
      </c>
    </row>
    <row r="86" spans="2:8" x14ac:dyDescent="0.45">
      <c r="B86" s="87">
        <v>45732</v>
      </c>
      <c r="C86" s="167">
        <v>2246.1999999999998</v>
      </c>
      <c r="D86" s="59">
        <f t="shared" si="2"/>
        <v>3.2830605113113753E-2</v>
      </c>
      <c r="E86" s="85"/>
      <c r="F86" s="87">
        <v>45732</v>
      </c>
      <c r="G86" s="167">
        <v>23350.400000000001</v>
      </c>
      <c r="H86" s="58">
        <f t="shared" si="3"/>
        <v>4.2558891289982803E-2</v>
      </c>
    </row>
    <row r="87" spans="2:8" x14ac:dyDescent="0.45">
      <c r="B87" s="87">
        <v>45725</v>
      </c>
      <c r="C87" s="167">
        <v>2174.8000000000002</v>
      </c>
      <c r="D87" s="59">
        <f t="shared" si="2"/>
        <v>-1.3494817536458648E-2</v>
      </c>
      <c r="E87" s="85"/>
      <c r="F87" s="87">
        <v>45725</v>
      </c>
      <c r="G87" s="167">
        <v>22397.200000000001</v>
      </c>
      <c r="H87" s="58">
        <f t="shared" si="3"/>
        <v>-6.8861545283227521E-3</v>
      </c>
    </row>
    <row r="88" spans="2:8" x14ac:dyDescent="0.45">
      <c r="B88" s="87">
        <v>45718</v>
      </c>
      <c r="C88" s="167">
        <v>2204.5500000000002</v>
      </c>
      <c r="D88" s="59">
        <f t="shared" si="2"/>
        <v>6.5289350530761681E-3</v>
      </c>
      <c r="E88" s="85"/>
      <c r="F88" s="87">
        <v>45718</v>
      </c>
      <c r="G88" s="167">
        <v>22552.5</v>
      </c>
      <c r="H88" s="58">
        <f t="shared" si="3"/>
        <v>1.9335855401429125E-2</v>
      </c>
    </row>
    <row r="89" spans="2:8" x14ac:dyDescent="0.45">
      <c r="B89" s="87">
        <v>45711</v>
      </c>
      <c r="C89" s="167">
        <v>2190.25</v>
      </c>
      <c r="D89" s="59">
        <f t="shared" si="2"/>
        <v>-2.2929538509580016E-2</v>
      </c>
      <c r="E89" s="85"/>
      <c r="F89" s="87">
        <v>45711</v>
      </c>
      <c r="G89" s="167">
        <v>22124.7</v>
      </c>
      <c r="H89" s="58">
        <f t="shared" si="3"/>
        <v>-2.9443891226053842E-2</v>
      </c>
    </row>
    <row r="90" spans="2:8" x14ac:dyDescent="0.45">
      <c r="B90" s="87">
        <v>45704</v>
      </c>
      <c r="C90" s="167">
        <v>2241.65</v>
      </c>
      <c r="D90" s="59">
        <f t="shared" si="2"/>
        <v>-3.3083874307157979E-2</v>
      </c>
      <c r="E90" s="85"/>
      <c r="F90" s="87">
        <v>45704</v>
      </c>
      <c r="G90" s="167">
        <v>22795.9</v>
      </c>
      <c r="H90" s="58">
        <f t="shared" si="3"/>
        <v>-5.8157157342695331E-3</v>
      </c>
    </row>
    <row r="91" spans="2:8" x14ac:dyDescent="0.45">
      <c r="B91" s="87">
        <v>45697</v>
      </c>
      <c r="C91" s="167">
        <v>2318.35</v>
      </c>
      <c r="D91" s="59">
        <f t="shared" si="2"/>
        <v>-1.9248260253400207E-2</v>
      </c>
      <c r="E91" s="85"/>
      <c r="F91" s="87">
        <v>45697</v>
      </c>
      <c r="G91" s="167">
        <v>22929.25</v>
      </c>
      <c r="H91" s="58">
        <f t="shared" si="3"/>
        <v>-2.6770005878620329E-2</v>
      </c>
    </row>
    <row r="92" spans="2:8" x14ac:dyDescent="0.45">
      <c r="B92" s="87">
        <v>45690</v>
      </c>
      <c r="C92" s="167">
        <v>2363.85</v>
      </c>
      <c r="D92" s="59">
        <f t="shared" si="2"/>
        <v>-4.2510531432274901E-2</v>
      </c>
      <c r="E92" s="85"/>
      <c r="F92" s="87">
        <v>45690</v>
      </c>
      <c r="G92" s="167">
        <v>23559.95</v>
      </c>
      <c r="H92" s="58">
        <f t="shared" si="3"/>
        <v>2.1928332000475947E-3</v>
      </c>
    </row>
    <row r="93" spans="2:8" x14ac:dyDescent="0.45">
      <c r="B93" s="87">
        <v>45683</v>
      </c>
      <c r="C93" s="167">
        <v>2468.8000000000002</v>
      </c>
      <c r="D93" s="59">
        <f t="shared" si="2"/>
        <v>4.2523542080148857E-2</v>
      </c>
      <c r="E93" s="85"/>
      <c r="F93" s="87">
        <v>45683</v>
      </c>
      <c r="G93" s="167">
        <v>23508.400000000001</v>
      </c>
      <c r="H93" s="58">
        <f t="shared" si="3"/>
        <v>1.8023401841314346E-2</v>
      </c>
    </row>
    <row r="94" spans="2:8" x14ac:dyDescent="0.45">
      <c r="B94" s="87">
        <v>45676</v>
      </c>
      <c r="C94" s="167">
        <v>2368.1</v>
      </c>
      <c r="D94" s="59">
        <f t="shared" si="2"/>
        <v>5.98980458793541E-3</v>
      </c>
      <c r="E94" s="85"/>
      <c r="F94" s="87">
        <v>45676</v>
      </c>
      <c r="G94" s="167">
        <v>23092.2</v>
      </c>
      <c r="H94" s="58">
        <f t="shared" si="3"/>
        <v>-4.7838229209764549E-3</v>
      </c>
    </row>
    <row r="95" spans="2:8" x14ac:dyDescent="0.45">
      <c r="B95" s="87">
        <v>45669</v>
      </c>
      <c r="C95" s="167">
        <v>2354</v>
      </c>
      <c r="D95" s="59">
        <f t="shared" si="2"/>
        <v>-3.6055772813824549E-2</v>
      </c>
      <c r="E95" s="85"/>
      <c r="F95" s="87">
        <v>45669</v>
      </c>
      <c r="G95" s="167">
        <v>23203.200000000001</v>
      </c>
      <c r="H95" s="58">
        <f t="shared" si="3"/>
        <v>-9.7432942833365344E-3</v>
      </c>
    </row>
    <row r="96" spans="2:8" x14ac:dyDescent="0.45">
      <c r="B96" s="87">
        <v>45662</v>
      </c>
      <c r="C96" s="167">
        <v>2442.0500000000002</v>
      </c>
      <c r="D96" s="59">
        <f t="shared" si="2"/>
        <v>1.4877922077922046E-2</v>
      </c>
      <c r="E96" s="85"/>
      <c r="F96" s="87">
        <v>45662</v>
      </c>
      <c r="G96" s="167">
        <v>23431.5</v>
      </c>
      <c r="H96" s="58">
        <f t="shared" si="3"/>
        <v>-2.3880690280048689E-2</v>
      </c>
    </row>
    <row r="97" spans="2:8" x14ac:dyDescent="0.45">
      <c r="B97" s="87">
        <v>45655</v>
      </c>
      <c r="C97" s="167">
        <v>2406.25</v>
      </c>
      <c r="D97" s="59">
        <f t="shared" si="2"/>
        <v>2.7762947143619821E-2</v>
      </c>
      <c r="E97" s="85"/>
      <c r="F97" s="87">
        <v>45655</v>
      </c>
      <c r="G97" s="167">
        <v>24004.75</v>
      </c>
      <c r="H97" s="58">
        <f t="shared" si="3"/>
        <v>8.035391838208783E-3</v>
      </c>
    </row>
    <row r="98" spans="2:8" x14ac:dyDescent="0.45">
      <c r="B98" s="87">
        <v>45648</v>
      </c>
      <c r="C98" s="167">
        <v>2341.25</v>
      </c>
      <c r="D98" s="59">
        <f t="shared" si="2"/>
        <v>3.1492351857405065E-3</v>
      </c>
      <c r="E98" s="85"/>
      <c r="F98" s="87">
        <v>45648</v>
      </c>
      <c r="G98" s="167">
        <v>23813.4</v>
      </c>
      <c r="H98" s="58">
        <f t="shared" si="3"/>
        <v>9.5771065182830295E-3</v>
      </c>
    </row>
    <row r="99" spans="2:8" x14ac:dyDescent="0.45">
      <c r="B99" s="87">
        <v>45641</v>
      </c>
      <c r="C99" s="167">
        <v>2333.9</v>
      </c>
      <c r="D99" s="59">
        <f t="shared" si="2"/>
        <v>-2.3513660516296331E-2</v>
      </c>
      <c r="E99" s="85"/>
      <c r="F99" s="87">
        <v>45641</v>
      </c>
      <c r="G99" s="167">
        <v>23587.5</v>
      </c>
      <c r="H99" s="58">
        <f t="shared" si="3"/>
        <v>-4.7673841159869612E-2</v>
      </c>
    </row>
    <row r="100" spans="2:8" x14ac:dyDescent="0.45">
      <c r="B100" s="87">
        <v>45634</v>
      </c>
      <c r="C100" s="167">
        <v>2390.1</v>
      </c>
      <c r="D100" s="59">
        <f t="shared" si="2"/>
        <v>-3.7724454464932888E-2</v>
      </c>
      <c r="E100" s="85"/>
      <c r="F100" s="87">
        <v>45634</v>
      </c>
      <c r="G100" s="167">
        <v>24768.3</v>
      </c>
      <c r="H100" s="58">
        <f t="shared" si="3"/>
        <v>3.6672636944945491E-3</v>
      </c>
    </row>
    <row r="101" spans="2:8" x14ac:dyDescent="0.45">
      <c r="B101" s="87">
        <v>45627</v>
      </c>
      <c r="C101" s="167">
        <v>2483.8000000000002</v>
      </c>
      <c r="D101" s="59">
        <f t="shared" si="2"/>
        <v>-4.9476193337739671E-3</v>
      </c>
      <c r="E101" s="85"/>
      <c r="F101" s="87">
        <v>45627</v>
      </c>
      <c r="G101" s="167">
        <v>24677.8</v>
      </c>
      <c r="H101" s="58">
        <f t="shared" si="3"/>
        <v>2.2655411481449228E-2</v>
      </c>
    </row>
    <row r="102" spans="2:8" x14ac:dyDescent="0.45">
      <c r="B102" s="87">
        <v>45620</v>
      </c>
      <c r="C102" s="167">
        <v>2496.15</v>
      </c>
      <c r="D102" s="59">
        <f t="shared" si="2"/>
        <v>2.0815867498210849E-2</v>
      </c>
      <c r="E102" s="85"/>
      <c r="F102" s="87">
        <v>45620</v>
      </c>
      <c r="G102" s="167">
        <v>24131.1</v>
      </c>
      <c r="H102" s="58">
        <f t="shared" si="3"/>
        <v>9.3632684645870157E-3</v>
      </c>
    </row>
    <row r="103" spans="2:8" x14ac:dyDescent="0.45">
      <c r="B103" s="87">
        <v>45613</v>
      </c>
      <c r="C103" s="167">
        <v>2445.25</v>
      </c>
      <c r="D103" s="59">
        <f t="shared" si="2"/>
        <v>2.3459735476310195E-2</v>
      </c>
      <c r="E103" s="85"/>
      <c r="F103" s="87">
        <v>45613</v>
      </c>
      <c r="G103" s="167">
        <v>23907.25</v>
      </c>
      <c r="H103" s="58">
        <f t="shared" si="3"/>
        <v>1.5916150717937061E-2</v>
      </c>
    </row>
    <row r="104" spans="2:8" x14ac:dyDescent="0.45">
      <c r="B104" s="87">
        <v>45606</v>
      </c>
      <c r="C104" s="167">
        <v>2389.1999999999998</v>
      </c>
      <c r="D104" s="59">
        <f t="shared" si="2"/>
        <v>-4.7254456274674062E-2</v>
      </c>
      <c r="E104" s="85"/>
      <c r="F104" s="87">
        <v>45606</v>
      </c>
      <c r="G104" s="167">
        <v>23532.7</v>
      </c>
      <c r="H104" s="58">
        <f t="shared" si="3"/>
        <v>-2.5488442202731498E-2</v>
      </c>
    </row>
    <row r="105" spans="2:8" x14ac:dyDescent="0.45">
      <c r="B105" s="87">
        <v>45599</v>
      </c>
      <c r="C105" s="167">
        <v>2507.6999999999998</v>
      </c>
      <c r="D105" s="59">
        <f t="shared" si="2"/>
        <v>-7.8102744278797376E-3</v>
      </c>
      <c r="E105" s="85"/>
      <c r="F105" s="87">
        <v>45599</v>
      </c>
      <c r="G105" s="167">
        <v>24148.2</v>
      </c>
      <c r="H105" s="58">
        <f t="shared" si="3"/>
        <v>-6.4247758117372822E-3</v>
      </c>
    </row>
    <row r="106" spans="2:8" x14ac:dyDescent="0.45">
      <c r="B106" s="87">
        <v>45592</v>
      </c>
      <c r="C106" s="167">
        <v>2527.44</v>
      </c>
      <c r="D106" s="59">
        <f t="shared" si="2"/>
        <v>3.7410346224415747E-3</v>
      </c>
      <c r="E106" s="85"/>
      <c r="F106" s="87">
        <v>45592</v>
      </c>
      <c r="G106" s="167">
        <v>24304.35</v>
      </c>
      <c r="H106" s="58">
        <f t="shared" si="3"/>
        <v>5.1094256600276999E-3</v>
      </c>
    </row>
    <row r="107" spans="2:8" x14ac:dyDescent="0.45">
      <c r="B107" s="87">
        <v>45585</v>
      </c>
      <c r="C107" s="167">
        <v>2518.02</v>
      </c>
      <c r="D107" s="59">
        <f t="shared" si="2"/>
        <v>-6.9577876969464159E-2</v>
      </c>
      <c r="E107" s="85"/>
      <c r="F107" s="87">
        <v>45585</v>
      </c>
      <c r="G107" s="167">
        <v>24180.799999999999</v>
      </c>
      <c r="H107" s="58">
        <f t="shared" si="3"/>
        <v>-2.7088140564616281E-2</v>
      </c>
    </row>
    <row r="108" spans="2:8" x14ac:dyDescent="0.45">
      <c r="B108" s="87">
        <v>45578</v>
      </c>
      <c r="C108" s="167">
        <v>2706.32</v>
      </c>
      <c r="D108" s="59">
        <f t="shared" si="2"/>
        <v>-2.3750432875447203E-2</v>
      </c>
      <c r="E108" s="85"/>
      <c r="F108" s="87">
        <v>45578</v>
      </c>
      <c r="G108" s="167">
        <v>24854.05</v>
      </c>
      <c r="H108" s="58">
        <f t="shared" si="3"/>
        <v>-4.4143124668275524E-3</v>
      </c>
    </row>
    <row r="109" spans="2:8" x14ac:dyDescent="0.45">
      <c r="B109" s="87">
        <v>45571</v>
      </c>
      <c r="C109" s="167">
        <v>2772.16</v>
      </c>
      <c r="D109" s="59">
        <f t="shared" si="2"/>
        <v>-2.301009709422186E-2</v>
      </c>
      <c r="E109" s="85"/>
      <c r="F109" s="87">
        <v>45571</v>
      </c>
      <c r="G109" s="167">
        <v>24964.25</v>
      </c>
      <c r="H109" s="58">
        <f t="shared" si="3"/>
        <v>-2.0128245104857889E-3</v>
      </c>
    </row>
    <row r="110" spans="2:8" x14ac:dyDescent="0.45">
      <c r="B110" s="87">
        <v>45564</v>
      </c>
      <c r="C110" s="167">
        <v>2837.45</v>
      </c>
      <c r="D110" s="59">
        <f t="shared" si="2"/>
        <v>-3.9614281991138922E-2</v>
      </c>
      <c r="E110" s="85"/>
      <c r="F110" s="87">
        <v>45564</v>
      </c>
      <c r="G110" s="167">
        <v>25014.6</v>
      </c>
      <c r="H110" s="58">
        <f t="shared" si="3"/>
        <v>-4.4476573735768743E-2</v>
      </c>
    </row>
    <row r="111" spans="2:8" x14ac:dyDescent="0.45">
      <c r="B111" s="87">
        <v>45557</v>
      </c>
      <c r="C111" s="167">
        <v>2954.49</v>
      </c>
      <c r="D111" s="59">
        <f t="shared" si="2"/>
        <v>-3.8101146743364511E-3</v>
      </c>
      <c r="E111" s="85"/>
      <c r="F111" s="87">
        <v>45557</v>
      </c>
      <c r="G111" s="167">
        <v>26178.95</v>
      </c>
      <c r="H111" s="58">
        <f t="shared" si="3"/>
        <v>1.5044036764834123E-2</v>
      </c>
    </row>
    <row r="112" spans="2:8" x14ac:dyDescent="0.45">
      <c r="B112" s="87">
        <v>45550</v>
      </c>
      <c r="C112" s="167">
        <v>2965.79</v>
      </c>
      <c r="D112" s="59">
        <f t="shared" si="2"/>
        <v>1.5222570618761422E-2</v>
      </c>
      <c r="E112" s="85"/>
      <c r="F112" s="87">
        <v>45550</v>
      </c>
      <c r="G112" s="167">
        <v>25790.95</v>
      </c>
      <c r="H112" s="58">
        <f t="shared" si="3"/>
        <v>1.7133673811448702E-2</v>
      </c>
    </row>
    <row r="113" spans="2:8" x14ac:dyDescent="0.45">
      <c r="B113" s="87">
        <v>45543</v>
      </c>
      <c r="C113" s="167">
        <v>2921.32</v>
      </c>
      <c r="D113" s="59">
        <f t="shared" si="2"/>
        <v>3.3111833333922869E-2</v>
      </c>
      <c r="E113" s="85"/>
      <c r="F113" s="87">
        <v>45543</v>
      </c>
      <c r="G113" s="167">
        <v>25356.5</v>
      </c>
      <c r="H113" s="58">
        <f t="shared" si="3"/>
        <v>2.0294018827344829E-2</v>
      </c>
    </row>
    <row r="114" spans="2:8" x14ac:dyDescent="0.45">
      <c r="B114" s="87">
        <v>45536</v>
      </c>
      <c r="C114" s="167">
        <v>2827.69</v>
      </c>
      <c r="D114" s="59">
        <f t="shared" si="2"/>
        <v>2.1940888622252519E-2</v>
      </c>
      <c r="E114" s="85"/>
      <c r="F114" s="87">
        <v>45536</v>
      </c>
      <c r="G114" s="167">
        <v>24852.15</v>
      </c>
      <c r="H114" s="58">
        <f t="shared" si="3"/>
        <v>-1.5206511358818231E-2</v>
      </c>
    </row>
    <row r="115" spans="2:8" x14ac:dyDescent="0.45">
      <c r="B115" s="87">
        <v>45529</v>
      </c>
      <c r="C115" s="167">
        <v>2766.98</v>
      </c>
      <c r="D115" s="59">
        <f t="shared" si="2"/>
        <v>-1.3353872266378519E-2</v>
      </c>
      <c r="E115" s="85"/>
      <c r="F115" s="87">
        <v>45529</v>
      </c>
      <c r="G115" s="167">
        <v>25235.9</v>
      </c>
      <c r="H115" s="58">
        <f t="shared" si="3"/>
        <v>1.6627623810837822E-2</v>
      </c>
    </row>
    <row r="116" spans="2:8" x14ac:dyDescent="0.45">
      <c r="B116" s="87">
        <v>45522</v>
      </c>
      <c r="C116" s="167">
        <v>2804.43</v>
      </c>
      <c r="D116" s="59">
        <f t="shared" si="2"/>
        <v>2.4505452353553503E-2</v>
      </c>
      <c r="E116" s="85"/>
      <c r="F116" s="87">
        <v>45522</v>
      </c>
      <c r="G116" s="167">
        <v>24823.15</v>
      </c>
      <c r="H116" s="58">
        <f t="shared" si="3"/>
        <v>1.1490904052988471E-2</v>
      </c>
    </row>
    <row r="117" spans="2:8" x14ac:dyDescent="0.45">
      <c r="B117" s="87">
        <v>45515</v>
      </c>
      <c r="C117" s="167">
        <v>2737.35</v>
      </c>
      <c r="D117" s="59">
        <f t="shared" si="2"/>
        <v>3.8372985418244632E-4</v>
      </c>
      <c r="E117" s="85"/>
      <c r="F117" s="87">
        <v>45515</v>
      </c>
      <c r="G117" s="167">
        <v>24541.15</v>
      </c>
      <c r="H117" s="58">
        <f t="shared" si="3"/>
        <v>7.1262952703396998E-3</v>
      </c>
    </row>
    <row r="118" spans="2:8" x14ac:dyDescent="0.45">
      <c r="B118" s="87">
        <v>45508</v>
      </c>
      <c r="C118" s="167">
        <v>2736.3</v>
      </c>
      <c r="D118" s="59">
        <f t="shared" si="2"/>
        <v>2.0295540052277072E-2</v>
      </c>
      <c r="E118" s="85"/>
      <c r="F118" s="87">
        <v>45508</v>
      </c>
      <c r="G118" s="167">
        <v>24367.5</v>
      </c>
      <c r="H118" s="58">
        <f t="shared" si="3"/>
        <v>-1.4167984885325113E-2</v>
      </c>
    </row>
    <row r="119" spans="2:8" x14ac:dyDescent="0.45">
      <c r="B119" s="87">
        <v>45501</v>
      </c>
      <c r="C119" s="167">
        <v>2681.87</v>
      </c>
      <c r="D119" s="59">
        <f t="shared" si="2"/>
        <v>-6.8251675739733342E-3</v>
      </c>
      <c r="E119" s="85"/>
      <c r="F119" s="87">
        <v>45501</v>
      </c>
      <c r="G119" s="167">
        <v>24717.7</v>
      </c>
      <c r="H119" s="58">
        <f t="shared" si="3"/>
        <v>-4.7171615693268887E-3</v>
      </c>
    </row>
    <row r="120" spans="2:8" x14ac:dyDescent="0.45">
      <c r="B120" s="87">
        <v>45494</v>
      </c>
      <c r="C120" s="167">
        <v>2700.3</v>
      </c>
      <c r="D120" s="59">
        <f t="shared" si="2"/>
        <v>-5.8501062149554084E-3</v>
      </c>
      <c r="E120" s="85"/>
      <c r="F120" s="87">
        <v>45494</v>
      </c>
      <c r="G120" s="167">
        <v>24834.85</v>
      </c>
      <c r="H120" s="58">
        <f t="shared" si="3"/>
        <v>1.2390495252925682E-2</v>
      </c>
    </row>
    <row r="121" spans="2:8" x14ac:dyDescent="0.45">
      <c r="B121" s="87">
        <v>45487</v>
      </c>
      <c r="C121" s="167">
        <v>2716.19</v>
      </c>
      <c r="D121" s="59">
        <f t="shared" si="2"/>
        <v>3.9948695369182774E-2</v>
      </c>
      <c r="E121" s="85"/>
      <c r="F121" s="87">
        <v>45487</v>
      </c>
      <c r="G121" s="167">
        <v>24530.9</v>
      </c>
      <c r="H121" s="58">
        <f t="shared" si="3"/>
        <v>1.1733664188653403E-3</v>
      </c>
    </row>
    <row r="122" spans="2:8" x14ac:dyDescent="0.45">
      <c r="B122" s="87">
        <v>45480</v>
      </c>
      <c r="C122" s="167">
        <v>2611.85</v>
      </c>
      <c r="D122" s="59">
        <f t="shared" si="2"/>
        <v>2.9543931570026327E-2</v>
      </c>
      <c r="E122" s="85"/>
      <c r="F122" s="87">
        <v>45480</v>
      </c>
      <c r="G122" s="167">
        <v>24502.15</v>
      </c>
      <c r="H122" s="58">
        <f t="shared" si="3"/>
        <v>7.3302540510651326E-3</v>
      </c>
    </row>
    <row r="123" spans="2:8" x14ac:dyDescent="0.45">
      <c r="B123" s="87">
        <v>45473</v>
      </c>
      <c r="C123" s="167">
        <v>2536.9</v>
      </c>
      <c r="D123" s="59">
        <f t="shared" si="2"/>
        <v>2.9903704064565551E-2</v>
      </c>
      <c r="E123" s="85"/>
      <c r="F123" s="87">
        <v>45473</v>
      </c>
      <c r="G123" s="167">
        <v>24323.85</v>
      </c>
      <c r="H123" s="58">
        <f t="shared" si="3"/>
        <v>1.3046321208133094E-2</v>
      </c>
    </row>
    <row r="124" spans="2:8" x14ac:dyDescent="0.45">
      <c r="B124" s="87">
        <v>45466</v>
      </c>
      <c r="C124" s="167">
        <v>2463.2399999999998</v>
      </c>
      <c r="D124" s="59">
        <f t="shared" si="2"/>
        <v>1.3003676561304855E-2</v>
      </c>
      <c r="E124" s="85"/>
      <c r="F124" s="87">
        <v>45466</v>
      </c>
      <c r="G124" s="167">
        <v>24010.6</v>
      </c>
      <c r="H124" s="58">
        <f t="shared" si="3"/>
        <v>2.1679836262983532E-2</v>
      </c>
    </row>
    <row r="125" spans="2:8" x14ac:dyDescent="0.45">
      <c r="B125" s="87">
        <v>45459</v>
      </c>
      <c r="C125" s="167">
        <v>2431.62</v>
      </c>
      <c r="D125" s="59">
        <f t="shared" si="2"/>
        <v>-1.550657511174458E-2</v>
      </c>
      <c r="E125" s="85"/>
      <c r="F125" s="87">
        <v>45459</v>
      </c>
      <c r="G125" s="167">
        <v>23501.1</v>
      </c>
      <c r="H125" s="58">
        <f t="shared" si="3"/>
        <v>1.5128528569481325E-3</v>
      </c>
    </row>
    <row r="126" spans="2:8" x14ac:dyDescent="0.45">
      <c r="B126" s="87">
        <v>45452</v>
      </c>
      <c r="C126" s="167">
        <v>2469.92</v>
      </c>
      <c r="D126" s="59">
        <f t="shared" si="2"/>
        <v>-3.8035815826575892E-2</v>
      </c>
      <c r="E126" s="85"/>
      <c r="F126" s="87">
        <v>45452</v>
      </c>
      <c r="G126" s="167">
        <v>23465.599999999999</v>
      </c>
      <c r="H126" s="58">
        <f t="shared" si="3"/>
        <v>7.5332275661599279E-3</v>
      </c>
    </row>
    <row r="127" spans="2:8" x14ac:dyDescent="0.45">
      <c r="B127" s="87">
        <v>45445</v>
      </c>
      <c r="C127" s="167">
        <v>2567.58</v>
      </c>
      <c r="D127" s="59">
        <f t="shared" si="2"/>
        <v>0.10680616084937999</v>
      </c>
      <c r="E127" s="85"/>
      <c r="F127" s="87">
        <v>45445</v>
      </c>
      <c r="G127" s="167">
        <v>23290.15</v>
      </c>
      <c r="H127" s="58">
        <f t="shared" si="3"/>
        <v>3.3707341538434354E-2</v>
      </c>
    </row>
    <row r="128" spans="2:8" x14ac:dyDescent="0.45">
      <c r="B128" s="87">
        <v>45438</v>
      </c>
      <c r="C128" s="167">
        <v>2319.81</v>
      </c>
      <c r="D128" s="59">
        <f t="shared" si="2"/>
        <v>-1.6883859894475939E-2</v>
      </c>
      <c r="E128" s="85"/>
      <c r="F128" s="87">
        <v>45438</v>
      </c>
      <c r="G128" s="167">
        <v>22530.7</v>
      </c>
      <c r="H128" s="58">
        <f t="shared" si="3"/>
        <v>-1.8573774562117951E-2</v>
      </c>
    </row>
    <row r="129" spans="2:8" x14ac:dyDescent="0.45">
      <c r="B129" s="87">
        <v>45431</v>
      </c>
      <c r="C129" s="167">
        <v>2359.65</v>
      </c>
      <c r="D129" s="59">
        <f t="shared" si="2"/>
        <v>2.0985223806330167E-2</v>
      </c>
      <c r="E129" s="85"/>
      <c r="F129" s="87">
        <v>45431</v>
      </c>
      <c r="G129" s="167">
        <v>22957.1</v>
      </c>
      <c r="H129" s="58">
        <f t="shared" si="3"/>
        <v>2.1855150649200406E-2</v>
      </c>
    </row>
    <row r="130" spans="2:8" x14ac:dyDescent="0.45">
      <c r="B130" s="87">
        <v>45424</v>
      </c>
      <c r="C130" s="167">
        <v>2311.15</v>
      </c>
      <c r="D130" s="59">
        <f t="shared" si="2"/>
        <v>-1.786093711488268E-2</v>
      </c>
      <c r="E130" s="85"/>
      <c r="F130" s="87">
        <v>45424</v>
      </c>
      <c r="G130" s="167">
        <v>22466.1</v>
      </c>
      <c r="H130" s="58">
        <f t="shared" si="3"/>
        <v>1.8630527041241907E-2</v>
      </c>
    </row>
    <row r="131" spans="2:8" x14ac:dyDescent="0.45">
      <c r="B131" s="87">
        <v>45417</v>
      </c>
      <c r="C131" s="167">
        <v>2353.1799999999998</v>
      </c>
      <c r="D131" s="59">
        <f t="shared" si="2"/>
        <v>6.5626330232852803E-2</v>
      </c>
      <c r="E131" s="85"/>
      <c r="F131" s="87">
        <v>45417</v>
      </c>
      <c r="G131" s="167">
        <v>22055.200000000001</v>
      </c>
      <c r="H131" s="58">
        <f t="shared" si="3"/>
        <v>-1.8715643679771743E-2</v>
      </c>
    </row>
    <row r="132" spans="2:8" x14ac:dyDescent="0.45">
      <c r="B132" s="87">
        <v>45410</v>
      </c>
      <c r="C132" s="167">
        <v>2208.2600000000002</v>
      </c>
      <c r="D132" s="59">
        <f t="shared" ref="D132:D195" si="4">IFERROR((C132/C133)-1,0)</f>
        <v>-2.5160016803457141E-3</v>
      </c>
      <c r="E132" s="85"/>
      <c r="F132" s="87">
        <v>45410</v>
      </c>
      <c r="G132" s="167">
        <v>22475.85</v>
      </c>
      <c r="H132" s="58">
        <f t="shared" ref="H132:H195" si="5">IFERROR((G132/G133)-1,0)</f>
        <v>2.4933151055197555E-3</v>
      </c>
    </row>
    <row r="133" spans="2:8" x14ac:dyDescent="0.45">
      <c r="B133" s="87">
        <v>45403</v>
      </c>
      <c r="C133" s="167">
        <v>2213.83</v>
      </c>
      <c r="D133" s="59">
        <f t="shared" si="4"/>
        <v>-4.0130469013609504E-3</v>
      </c>
      <c r="E133" s="85"/>
      <c r="F133" s="87">
        <v>45403</v>
      </c>
      <c r="G133" s="167">
        <v>22419.95</v>
      </c>
      <c r="H133" s="58">
        <f t="shared" si="5"/>
        <v>1.2324468325281002E-2</v>
      </c>
    </row>
    <row r="134" spans="2:8" x14ac:dyDescent="0.45">
      <c r="B134" s="87">
        <v>45396</v>
      </c>
      <c r="C134" s="167">
        <v>2222.75</v>
      </c>
      <c r="D134" s="59">
        <f t="shared" si="4"/>
        <v>-3.1482605860255752E-4</v>
      </c>
      <c r="E134" s="85"/>
      <c r="F134" s="87">
        <v>45396</v>
      </c>
      <c r="G134" s="167">
        <v>22147</v>
      </c>
      <c r="H134" s="58">
        <f t="shared" si="5"/>
        <v>-1.6536852669254087E-2</v>
      </c>
    </row>
    <row r="135" spans="2:8" x14ac:dyDescent="0.45">
      <c r="B135" s="87">
        <v>45389</v>
      </c>
      <c r="C135" s="167">
        <v>2223.4499999999998</v>
      </c>
      <c r="D135" s="59">
        <f t="shared" si="4"/>
        <v>-1.5283707417314885E-2</v>
      </c>
      <c r="E135" s="85"/>
      <c r="F135" s="87">
        <v>45389</v>
      </c>
      <c r="G135" s="167">
        <v>22519.4</v>
      </c>
      <c r="H135" s="58">
        <f t="shared" si="5"/>
        <v>2.5317917534661838E-4</v>
      </c>
    </row>
    <row r="136" spans="2:8" x14ac:dyDescent="0.45">
      <c r="B136" s="87">
        <v>45382</v>
      </c>
      <c r="C136" s="167">
        <v>2257.96</v>
      </c>
      <c r="D136" s="59">
        <f t="shared" si="4"/>
        <v>1.1483703339141282E-3</v>
      </c>
      <c r="E136" s="85"/>
      <c r="F136" s="87">
        <v>45382</v>
      </c>
      <c r="G136" s="167">
        <v>22513.7</v>
      </c>
      <c r="H136" s="58">
        <f t="shared" si="5"/>
        <v>8.3665891816597782E-3</v>
      </c>
    </row>
    <row r="137" spans="2:8" x14ac:dyDescent="0.45">
      <c r="B137" s="87">
        <v>45375</v>
      </c>
      <c r="C137" s="167">
        <v>2255.37</v>
      </c>
      <c r="D137" s="59">
        <f t="shared" si="4"/>
        <v>3.4570208222104437E-3</v>
      </c>
      <c r="E137" s="85"/>
      <c r="F137" s="87">
        <v>45375</v>
      </c>
      <c r="G137" s="167">
        <v>22326.9</v>
      </c>
      <c r="H137" s="58">
        <f t="shared" si="5"/>
        <v>1.0415558849152129E-2</v>
      </c>
    </row>
    <row r="138" spans="2:8" x14ac:dyDescent="0.45">
      <c r="B138" s="87">
        <v>45368</v>
      </c>
      <c r="C138" s="167">
        <v>2247.6</v>
      </c>
      <c r="D138" s="59">
        <f t="shared" si="4"/>
        <v>-3.0567572580192937E-2</v>
      </c>
      <c r="E138" s="85"/>
      <c r="F138" s="87">
        <v>45368</v>
      </c>
      <c r="G138" s="167">
        <v>22096.75</v>
      </c>
      <c r="H138" s="58">
        <f t="shared" si="5"/>
        <v>3.3328262957270649E-3</v>
      </c>
    </row>
    <row r="139" spans="2:8" x14ac:dyDescent="0.45">
      <c r="B139" s="87">
        <v>45361</v>
      </c>
      <c r="C139" s="167">
        <v>2318.4699999999998</v>
      </c>
      <c r="D139" s="59">
        <f t="shared" si="4"/>
        <v>-3.7959293761281376E-2</v>
      </c>
      <c r="E139" s="85"/>
      <c r="F139" s="87">
        <v>45361</v>
      </c>
      <c r="G139" s="167">
        <v>22023.35</v>
      </c>
      <c r="H139" s="58">
        <f t="shared" si="5"/>
        <v>-2.0903770191899484E-2</v>
      </c>
    </row>
    <row r="140" spans="2:8" x14ac:dyDescent="0.45">
      <c r="B140" s="87">
        <v>45354</v>
      </c>
      <c r="C140" s="167">
        <v>2409.9499999999998</v>
      </c>
      <c r="D140" s="59">
        <f t="shared" si="4"/>
        <v>4.0872615764080411E-3</v>
      </c>
      <c r="E140" s="85"/>
      <c r="F140" s="87">
        <v>45354</v>
      </c>
      <c r="G140" s="167">
        <v>22493.55</v>
      </c>
      <c r="H140" s="58">
        <f t="shared" si="5"/>
        <v>6.929662581836471E-3</v>
      </c>
    </row>
    <row r="141" spans="2:8" x14ac:dyDescent="0.45">
      <c r="B141" s="87">
        <v>45347</v>
      </c>
      <c r="C141" s="167">
        <v>2400.14</v>
      </c>
      <c r="D141" s="59">
        <f t="shared" si="4"/>
        <v>6.5168162375242034E-3</v>
      </c>
      <c r="E141" s="85"/>
      <c r="F141" s="87">
        <v>45347</v>
      </c>
      <c r="G141" s="167">
        <v>22338.75</v>
      </c>
      <c r="H141" s="58">
        <f t="shared" si="5"/>
        <v>5.6746816010659895E-3</v>
      </c>
    </row>
    <row r="142" spans="2:8" x14ac:dyDescent="0.45">
      <c r="B142" s="87">
        <v>45340</v>
      </c>
      <c r="C142" s="167">
        <v>2384.6</v>
      </c>
      <c r="D142" s="59">
        <f t="shared" si="4"/>
        <v>7.9337906781129508E-3</v>
      </c>
      <c r="E142" s="85"/>
      <c r="F142" s="87">
        <v>45340</v>
      </c>
      <c r="G142" s="167">
        <v>22212.7</v>
      </c>
      <c r="H142" s="58">
        <f t="shared" si="5"/>
        <v>7.8037448901351336E-3</v>
      </c>
    </row>
    <row r="143" spans="2:8" x14ac:dyDescent="0.45">
      <c r="B143" s="87">
        <v>45333</v>
      </c>
      <c r="C143" s="167">
        <v>2365.83</v>
      </c>
      <c r="D143" s="59">
        <f t="shared" si="4"/>
        <v>-2.017361485003355E-2</v>
      </c>
      <c r="E143" s="85"/>
      <c r="F143" s="87">
        <v>45333</v>
      </c>
      <c r="G143" s="167">
        <v>22040.7</v>
      </c>
      <c r="H143" s="58">
        <f t="shared" si="5"/>
        <v>1.1853552163433978E-2</v>
      </c>
    </row>
    <row r="144" spans="2:8" x14ac:dyDescent="0.45">
      <c r="B144" s="87">
        <v>45326</v>
      </c>
      <c r="C144" s="167">
        <v>2414.54</v>
      </c>
      <c r="D144" s="59">
        <f t="shared" si="4"/>
        <v>-1.1597014986470811E-2</v>
      </c>
      <c r="E144" s="85"/>
      <c r="F144" s="87">
        <v>45326</v>
      </c>
      <c r="G144" s="167">
        <v>21782.5</v>
      </c>
      <c r="H144" s="58">
        <f t="shared" si="5"/>
        <v>-3.2625904876955047E-3</v>
      </c>
    </row>
    <row r="145" spans="2:8" x14ac:dyDescent="0.45">
      <c r="B145" s="87">
        <v>45319</v>
      </c>
      <c r="C145" s="167">
        <v>2442.87</v>
      </c>
      <c r="D145" s="59">
        <f t="shared" si="4"/>
        <v>1.0005498889885667E-2</v>
      </c>
      <c r="E145" s="85"/>
      <c r="F145" s="87">
        <v>45319</v>
      </c>
      <c r="G145" s="167">
        <v>21853.8</v>
      </c>
      <c r="H145" s="58">
        <f t="shared" si="5"/>
        <v>2.3472551352060167E-2</v>
      </c>
    </row>
    <row r="146" spans="2:8" x14ac:dyDescent="0.45">
      <c r="B146" s="87">
        <v>45312</v>
      </c>
      <c r="C146" s="167">
        <v>2418.67</v>
      </c>
      <c r="D146" s="59">
        <f t="shared" si="4"/>
        <v>-5.3443329954642071E-2</v>
      </c>
      <c r="E146" s="85"/>
      <c r="F146" s="87">
        <v>45312</v>
      </c>
      <c r="G146" s="167">
        <v>21352.6</v>
      </c>
      <c r="H146" s="58">
        <f t="shared" si="5"/>
        <v>-1.2477800799171379E-2</v>
      </c>
    </row>
    <row r="147" spans="2:8" x14ac:dyDescent="0.45">
      <c r="B147" s="87">
        <v>45305</v>
      </c>
      <c r="C147" s="167">
        <v>2555.23</v>
      </c>
      <c r="D147" s="59">
        <f t="shared" si="4"/>
        <v>8.4138742102126685E-3</v>
      </c>
      <c r="E147" s="85"/>
      <c r="F147" s="87">
        <v>45305</v>
      </c>
      <c r="G147" s="167">
        <v>21622.400000000001</v>
      </c>
      <c r="H147" s="58">
        <f t="shared" si="5"/>
        <v>-1.2430033958222397E-2</v>
      </c>
    </row>
    <row r="148" spans="2:8" x14ac:dyDescent="0.45">
      <c r="B148" s="87">
        <v>45298</v>
      </c>
      <c r="C148" s="167">
        <v>2533.91</v>
      </c>
      <c r="D148" s="59">
        <f t="shared" si="4"/>
        <v>-2.9026769770774785E-2</v>
      </c>
      <c r="E148" s="85"/>
      <c r="F148" s="87">
        <v>45298</v>
      </c>
      <c r="G148" s="167">
        <v>21894.55</v>
      </c>
      <c r="H148" s="58">
        <f t="shared" si="5"/>
        <v>8.4635296718684749E-3</v>
      </c>
    </row>
    <row r="149" spans="2:8" x14ac:dyDescent="0.45">
      <c r="B149" s="87">
        <v>45291</v>
      </c>
      <c r="C149" s="167">
        <v>2609.66</v>
      </c>
      <c r="D149" s="59">
        <f t="shared" si="4"/>
        <v>-1.6480803801928845E-2</v>
      </c>
      <c r="E149" s="85"/>
      <c r="F149" s="87">
        <v>45291</v>
      </c>
      <c r="G149" s="167">
        <v>21710.799999999999</v>
      </c>
      <c r="H149" s="58">
        <f t="shared" si="5"/>
        <v>-9.479370864280412E-4</v>
      </c>
    </row>
    <row r="150" spans="2:8" x14ac:dyDescent="0.45">
      <c r="B150" s="87">
        <v>45284</v>
      </c>
      <c r="C150" s="167">
        <v>2653.39</v>
      </c>
      <c r="D150" s="59">
        <f t="shared" si="4"/>
        <v>3.4302776575881211E-2</v>
      </c>
      <c r="E150" s="85"/>
      <c r="F150" s="87">
        <v>45284</v>
      </c>
      <c r="G150" s="167">
        <v>21731.4</v>
      </c>
      <c r="H150" s="58">
        <f t="shared" si="5"/>
        <v>1.7892774504201459E-2</v>
      </c>
    </row>
    <row r="151" spans="2:8" x14ac:dyDescent="0.45">
      <c r="B151" s="87">
        <v>45277</v>
      </c>
      <c r="C151" s="167">
        <v>2565.39</v>
      </c>
      <c r="D151" s="59">
        <f t="shared" si="4"/>
        <v>2.0892279407375591E-2</v>
      </c>
      <c r="E151" s="85"/>
      <c r="F151" s="87">
        <v>45277</v>
      </c>
      <c r="G151" s="167">
        <v>21349.4</v>
      </c>
      <c r="H151" s="58">
        <f t="shared" si="5"/>
        <v>-4.9984503638732525E-3</v>
      </c>
    </row>
    <row r="152" spans="2:8" x14ac:dyDescent="0.45">
      <c r="B152" s="87">
        <v>45270</v>
      </c>
      <c r="C152" s="167">
        <v>2512.89</v>
      </c>
      <c r="D152" s="59">
        <f t="shared" si="4"/>
        <v>2.3484456474132109E-4</v>
      </c>
      <c r="E152" s="85"/>
      <c r="F152" s="87">
        <v>45270</v>
      </c>
      <c r="G152" s="167">
        <v>21456.65</v>
      </c>
      <c r="H152" s="58">
        <f t="shared" si="5"/>
        <v>2.3236239472755438E-2</v>
      </c>
    </row>
    <row r="153" spans="2:8" x14ac:dyDescent="0.45">
      <c r="B153" s="87">
        <v>45263</v>
      </c>
      <c r="C153" s="167">
        <v>2512.3000000000002</v>
      </c>
      <c r="D153" s="59">
        <f t="shared" si="4"/>
        <v>-1.6127010981092371E-2</v>
      </c>
      <c r="E153" s="85"/>
      <c r="F153" s="87">
        <v>45263</v>
      </c>
      <c r="G153" s="167">
        <v>20969.400000000001</v>
      </c>
      <c r="H153" s="58">
        <f t="shared" si="5"/>
        <v>3.4611380557433069E-2</v>
      </c>
    </row>
    <row r="154" spans="2:8" x14ac:dyDescent="0.45">
      <c r="B154" s="87">
        <v>45256</v>
      </c>
      <c r="C154" s="167">
        <v>2553.48</v>
      </c>
      <c r="D154" s="59">
        <f t="shared" si="4"/>
        <v>1.9259708689421728E-2</v>
      </c>
      <c r="E154" s="85"/>
      <c r="F154" s="87">
        <v>45256</v>
      </c>
      <c r="G154" s="167">
        <v>20267.900000000001</v>
      </c>
      <c r="H154" s="58">
        <f t="shared" si="5"/>
        <v>2.3905388816198414E-2</v>
      </c>
    </row>
    <row r="155" spans="2:8" x14ac:dyDescent="0.45">
      <c r="B155" s="87">
        <v>45249</v>
      </c>
      <c r="C155" s="167">
        <v>2505.23</v>
      </c>
      <c r="D155" s="59">
        <f t="shared" si="4"/>
        <v>-5.3756396971537113E-3</v>
      </c>
      <c r="E155" s="85"/>
      <c r="F155" s="87">
        <v>45249</v>
      </c>
      <c r="G155" s="167">
        <v>19794.7</v>
      </c>
      <c r="H155" s="58">
        <f t="shared" si="5"/>
        <v>3.1877476966115648E-3</v>
      </c>
    </row>
    <row r="156" spans="2:8" x14ac:dyDescent="0.45">
      <c r="B156" s="87">
        <v>45242</v>
      </c>
      <c r="C156" s="167">
        <v>2518.77</v>
      </c>
      <c r="D156" s="59">
        <f t="shared" si="4"/>
        <v>1.6990418663619611E-2</v>
      </c>
      <c r="E156" s="85"/>
      <c r="F156" s="87">
        <v>45242</v>
      </c>
      <c r="G156" s="167">
        <v>19731.8</v>
      </c>
      <c r="H156" s="58">
        <f t="shared" si="5"/>
        <v>1.5775777527818002E-2</v>
      </c>
    </row>
    <row r="157" spans="2:8" x14ac:dyDescent="0.45">
      <c r="B157" s="87">
        <v>45235</v>
      </c>
      <c r="C157" s="167">
        <v>2476.69</v>
      </c>
      <c r="D157" s="59">
        <f t="shared" si="4"/>
        <v>-9.0465330292482937E-3</v>
      </c>
      <c r="E157" s="85"/>
      <c r="F157" s="87">
        <v>45235</v>
      </c>
      <c r="G157" s="167">
        <v>19425.349999999999</v>
      </c>
      <c r="H157" s="58">
        <f t="shared" si="5"/>
        <v>1.0127089118384225E-2</v>
      </c>
    </row>
    <row r="158" spans="2:8" x14ac:dyDescent="0.45">
      <c r="B158" s="87">
        <v>45228</v>
      </c>
      <c r="C158" s="167">
        <v>2499.3000000000002</v>
      </c>
      <c r="D158" s="59">
        <f t="shared" si="4"/>
        <v>1.0957806982416551E-2</v>
      </c>
      <c r="E158" s="85"/>
      <c r="F158" s="87">
        <v>45228</v>
      </c>
      <c r="G158" s="167">
        <v>19230.599999999999</v>
      </c>
      <c r="H158" s="58">
        <f t="shared" si="5"/>
        <v>9.6260615049414966E-3</v>
      </c>
    </row>
    <row r="159" spans="2:8" x14ac:dyDescent="0.45">
      <c r="B159" s="87">
        <v>45221</v>
      </c>
      <c r="C159" s="167">
        <v>2472.21</v>
      </c>
      <c r="D159" s="59">
        <f t="shared" si="4"/>
        <v>-5.2469570465747406E-3</v>
      </c>
      <c r="E159" s="85"/>
      <c r="F159" s="87">
        <v>45221</v>
      </c>
      <c r="G159" s="167">
        <v>19047.25</v>
      </c>
      <c r="H159" s="58">
        <f t="shared" si="5"/>
        <v>-2.5349683896503383E-2</v>
      </c>
    </row>
    <row r="160" spans="2:8" x14ac:dyDescent="0.45">
      <c r="B160" s="87">
        <v>45214</v>
      </c>
      <c r="C160" s="167">
        <v>2485.25</v>
      </c>
      <c r="D160" s="59">
        <f t="shared" si="4"/>
        <v>-2.8918515508389198E-2</v>
      </c>
      <c r="E160" s="85"/>
      <c r="F160" s="87">
        <v>45214</v>
      </c>
      <c r="G160" s="167">
        <v>19542.650000000001</v>
      </c>
      <c r="H160" s="58">
        <f t="shared" si="5"/>
        <v>-1.0551337776978809E-2</v>
      </c>
    </row>
    <row r="161" spans="2:8" x14ac:dyDescent="0.45">
      <c r="B161" s="87">
        <v>45207</v>
      </c>
      <c r="C161" s="167">
        <v>2559.2600000000002</v>
      </c>
      <c r="D161" s="59">
        <f t="shared" si="4"/>
        <v>2.8025820549590685E-2</v>
      </c>
      <c r="E161" s="85"/>
      <c r="F161" s="87">
        <v>45207</v>
      </c>
      <c r="G161" s="167">
        <v>19751.05</v>
      </c>
      <c r="H161" s="58">
        <f t="shared" si="5"/>
        <v>4.9634925076957881E-3</v>
      </c>
    </row>
    <row r="162" spans="2:8" x14ac:dyDescent="0.45">
      <c r="B162" s="87">
        <v>45200</v>
      </c>
      <c r="C162" s="167">
        <v>2489.4899999999998</v>
      </c>
      <c r="D162" s="59">
        <f t="shared" si="4"/>
        <v>1.3710288213305333E-2</v>
      </c>
      <c r="E162" s="85"/>
      <c r="F162" s="87">
        <v>45200</v>
      </c>
      <c r="G162" s="167">
        <v>19653.5</v>
      </c>
      <c r="H162" s="58">
        <f t="shared" si="5"/>
        <v>7.7399774929598486E-4</v>
      </c>
    </row>
    <row r="163" spans="2:8" x14ac:dyDescent="0.45">
      <c r="B163" s="87">
        <v>45193</v>
      </c>
      <c r="C163" s="167">
        <v>2455.8200000000002</v>
      </c>
      <c r="D163" s="59">
        <f t="shared" si="4"/>
        <v>-6.7863787106687834E-3</v>
      </c>
      <c r="E163" s="85"/>
      <c r="F163" s="87">
        <v>45193</v>
      </c>
      <c r="G163" s="167">
        <v>19638.3</v>
      </c>
      <c r="H163" s="58">
        <f t="shared" si="5"/>
        <v>-1.8272615220402688E-3</v>
      </c>
    </row>
    <row r="164" spans="2:8" x14ac:dyDescent="0.45">
      <c r="B164" s="87">
        <v>45186</v>
      </c>
      <c r="C164" s="167">
        <v>2472.6</v>
      </c>
      <c r="D164" s="59">
        <f t="shared" si="4"/>
        <v>5.1587253192191262E-3</v>
      </c>
      <c r="E164" s="85"/>
      <c r="F164" s="87">
        <v>45186</v>
      </c>
      <c r="G164" s="167">
        <v>19674.25</v>
      </c>
      <c r="H164" s="58">
        <f t="shared" si="5"/>
        <v>-2.5658231954180599E-2</v>
      </c>
    </row>
    <row r="165" spans="2:8" x14ac:dyDescent="0.45">
      <c r="B165" s="87">
        <v>45179</v>
      </c>
      <c r="C165" s="167">
        <v>2459.91</v>
      </c>
      <c r="D165" s="59">
        <f t="shared" si="4"/>
        <v>-1.7541126993446121E-2</v>
      </c>
      <c r="E165" s="85"/>
      <c r="F165" s="87">
        <v>45179</v>
      </c>
      <c r="G165" s="167">
        <v>20192.349999999999</v>
      </c>
      <c r="H165" s="58">
        <f t="shared" si="5"/>
        <v>1.8789149316723597E-2</v>
      </c>
    </row>
    <row r="166" spans="2:8" x14ac:dyDescent="0.45">
      <c r="B166" s="87">
        <v>45172</v>
      </c>
      <c r="C166" s="167">
        <v>2503.83</v>
      </c>
      <c r="D166" s="59">
        <f t="shared" si="4"/>
        <v>3.5913694901938964E-3</v>
      </c>
      <c r="E166" s="85"/>
      <c r="F166" s="87">
        <v>45172</v>
      </c>
      <c r="G166" s="167">
        <v>19819.95</v>
      </c>
      <c r="H166" s="58">
        <f t="shared" si="5"/>
        <v>1.9791307569216876E-2</v>
      </c>
    </row>
    <row r="167" spans="2:8" x14ac:dyDescent="0.45">
      <c r="B167" s="87">
        <v>45165</v>
      </c>
      <c r="C167" s="167">
        <v>2494.87</v>
      </c>
      <c r="D167" s="59">
        <f t="shared" si="4"/>
        <v>-2.2914724796152641E-2</v>
      </c>
      <c r="E167" s="85"/>
      <c r="F167" s="87">
        <v>45165</v>
      </c>
      <c r="G167" s="167">
        <v>19435.3</v>
      </c>
      <c r="H167" s="58">
        <f t="shared" si="5"/>
        <v>8.7979736112697715E-3</v>
      </c>
    </row>
    <row r="168" spans="2:8" x14ac:dyDescent="0.45">
      <c r="B168" s="87">
        <v>45158</v>
      </c>
      <c r="C168" s="167">
        <v>2553.38</v>
      </c>
      <c r="D168" s="59">
        <f t="shared" si="4"/>
        <v>3.4425572384089165E-3</v>
      </c>
      <c r="E168" s="85"/>
      <c r="F168" s="87">
        <v>45158</v>
      </c>
      <c r="G168" s="167">
        <v>19265.8</v>
      </c>
      <c r="H168" s="58">
        <f t="shared" si="5"/>
        <v>-2.2967196008317758E-3</v>
      </c>
    </row>
    <row r="169" spans="2:8" x14ac:dyDescent="0.45">
      <c r="B169" s="87">
        <v>45151</v>
      </c>
      <c r="C169" s="167">
        <v>2544.62</v>
      </c>
      <c r="D169" s="59">
        <f t="shared" si="4"/>
        <v>2.1164743085541726E-2</v>
      </c>
      <c r="E169" s="85"/>
      <c r="F169" s="87">
        <v>45151</v>
      </c>
      <c r="G169" s="167">
        <v>19310.150000000001</v>
      </c>
      <c r="H169" s="58">
        <f t="shared" si="5"/>
        <v>-6.0813349598265454E-3</v>
      </c>
    </row>
    <row r="170" spans="2:8" x14ac:dyDescent="0.45">
      <c r="B170" s="87">
        <v>45144</v>
      </c>
      <c r="C170" s="167">
        <v>2491.88</v>
      </c>
      <c r="D170" s="59">
        <f t="shared" si="4"/>
        <v>-1.7358728656492795E-2</v>
      </c>
      <c r="E170" s="85"/>
      <c r="F170" s="87">
        <v>45144</v>
      </c>
      <c r="G170" s="167">
        <v>19428.3</v>
      </c>
      <c r="H170" s="58">
        <f t="shared" si="5"/>
        <v>-4.5447558538710409E-3</v>
      </c>
    </row>
    <row r="171" spans="2:8" x14ac:dyDescent="0.45">
      <c r="B171" s="87">
        <v>45137</v>
      </c>
      <c r="C171" s="167">
        <v>2535.9</v>
      </c>
      <c r="D171" s="59">
        <f t="shared" si="4"/>
        <v>-1.4935809039174908E-2</v>
      </c>
      <c r="E171" s="85"/>
      <c r="F171" s="87">
        <v>45137</v>
      </c>
      <c r="G171" s="167">
        <v>19517</v>
      </c>
      <c r="H171" s="58">
        <f t="shared" si="5"/>
        <v>-6.568750461288575E-3</v>
      </c>
    </row>
    <row r="172" spans="2:8" x14ac:dyDescent="0.45">
      <c r="B172" s="87">
        <v>45130</v>
      </c>
      <c r="C172" s="167">
        <v>2574.35</v>
      </c>
      <c r="D172" s="59">
        <f t="shared" si="4"/>
        <v>-7.4489044481372835E-3</v>
      </c>
      <c r="E172" s="85"/>
      <c r="F172" s="87">
        <v>45130</v>
      </c>
      <c r="G172" s="167">
        <v>19646.05</v>
      </c>
      <c r="H172" s="58">
        <f t="shared" si="5"/>
        <v>-5.0113952899468739E-3</v>
      </c>
    </row>
    <row r="173" spans="2:8" x14ac:dyDescent="0.45">
      <c r="B173" s="87">
        <v>45123</v>
      </c>
      <c r="C173" s="167">
        <v>2593.67</v>
      </c>
      <c r="D173" s="59">
        <f t="shared" si="4"/>
        <v>-2.7232698741317507E-2</v>
      </c>
      <c r="E173" s="85"/>
      <c r="F173" s="87">
        <v>45123</v>
      </c>
      <c r="G173" s="167">
        <v>19745</v>
      </c>
      <c r="H173" s="58">
        <f t="shared" si="5"/>
        <v>9.225893838329613E-3</v>
      </c>
    </row>
    <row r="174" spans="2:8" x14ac:dyDescent="0.45">
      <c r="B174" s="87">
        <v>45116</v>
      </c>
      <c r="C174" s="167">
        <v>2666.28</v>
      </c>
      <c r="D174" s="59">
        <f t="shared" si="4"/>
        <v>-7.8588970752400122E-3</v>
      </c>
      <c r="E174" s="85"/>
      <c r="F174" s="87">
        <v>45116</v>
      </c>
      <c r="G174" s="167">
        <v>19564.5</v>
      </c>
      <c r="H174" s="58">
        <f t="shared" si="5"/>
        <v>1.2037161567986399E-2</v>
      </c>
    </row>
    <row r="175" spans="2:8" x14ac:dyDescent="0.45">
      <c r="B175" s="87">
        <v>45109</v>
      </c>
      <c r="C175" s="167">
        <v>2687.4</v>
      </c>
      <c r="D175" s="59">
        <f t="shared" si="4"/>
        <v>7.4488384385553719E-3</v>
      </c>
      <c r="E175" s="85"/>
      <c r="F175" s="87">
        <v>45109</v>
      </c>
      <c r="G175" s="167">
        <v>19331.8</v>
      </c>
      <c r="H175" s="58">
        <f t="shared" si="5"/>
        <v>7.4391384669902916E-3</v>
      </c>
    </row>
    <row r="176" spans="2:8" x14ac:dyDescent="0.45">
      <c r="B176" s="87">
        <v>45102</v>
      </c>
      <c r="C176" s="167">
        <v>2667.53</v>
      </c>
      <c r="D176" s="59">
        <f t="shared" si="4"/>
        <v>1.3838213384414377E-2</v>
      </c>
      <c r="E176" s="85"/>
      <c r="F176" s="87">
        <v>45102</v>
      </c>
      <c r="G176" s="167">
        <v>19189.05</v>
      </c>
      <c r="H176" s="58">
        <f t="shared" si="5"/>
        <v>2.8049074495727355E-2</v>
      </c>
    </row>
    <row r="177" spans="2:8" x14ac:dyDescent="0.45">
      <c r="B177" s="87">
        <v>45095</v>
      </c>
      <c r="C177" s="167">
        <v>2631.12</v>
      </c>
      <c r="D177" s="59">
        <f t="shared" si="4"/>
        <v>-2.7269231906775993E-2</v>
      </c>
      <c r="E177" s="85"/>
      <c r="F177" s="87">
        <v>45095</v>
      </c>
      <c r="G177" s="167">
        <v>18665.5</v>
      </c>
      <c r="H177" s="58">
        <f t="shared" si="5"/>
        <v>-8.5254435355359703E-3</v>
      </c>
    </row>
    <row r="178" spans="2:8" x14ac:dyDescent="0.45">
      <c r="B178" s="87">
        <v>45088</v>
      </c>
      <c r="C178" s="167">
        <v>2704.88</v>
      </c>
      <c r="D178" s="59">
        <f t="shared" si="4"/>
        <v>3.0136151575740344E-2</v>
      </c>
      <c r="E178" s="85"/>
      <c r="F178" s="87">
        <v>45088</v>
      </c>
      <c r="G178" s="167">
        <v>18826</v>
      </c>
      <c r="H178" s="58">
        <f t="shared" si="5"/>
        <v>1.4146115474535925E-2</v>
      </c>
    </row>
    <row r="179" spans="2:8" x14ac:dyDescent="0.45">
      <c r="B179" s="87">
        <v>45081</v>
      </c>
      <c r="C179" s="167">
        <v>2625.75</v>
      </c>
      <c r="D179" s="59">
        <f t="shared" si="4"/>
        <v>-2.9631217363346396E-2</v>
      </c>
      <c r="E179" s="85"/>
      <c r="F179" s="87">
        <v>45081</v>
      </c>
      <c r="G179" s="167">
        <v>18563.400000000001</v>
      </c>
      <c r="H179" s="58">
        <f t="shared" si="5"/>
        <v>1.5808698561032841E-3</v>
      </c>
    </row>
    <row r="180" spans="2:8" x14ac:dyDescent="0.45">
      <c r="B180" s="87">
        <v>45074</v>
      </c>
      <c r="C180" s="167">
        <v>2705.93</v>
      </c>
      <c r="D180" s="59">
        <f t="shared" si="4"/>
        <v>2.426348402433165E-2</v>
      </c>
      <c r="E180" s="85"/>
      <c r="F180" s="87">
        <v>45074</v>
      </c>
      <c r="G180" s="167">
        <v>18534.099999999999</v>
      </c>
      <c r="H180" s="58">
        <f t="shared" si="5"/>
        <v>1.8784443777755122E-3</v>
      </c>
    </row>
    <row r="181" spans="2:8" x14ac:dyDescent="0.45">
      <c r="B181" s="87">
        <v>45067</v>
      </c>
      <c r="C181" s="167">
        <v>2641.83</v>
      </c>
      <c r="D181" s="59">
        <f t="shared" si="4"/>
        <v>4.1277551625447106E-3</v>
      </c>
      <c r="E181" s="85"/>
      <c r="F181" s="87">
        <v>45067</v>
      </c>
      <c r="G181" s="167">
        <v>18499.349999999999</v>
      </c>
      <c r="H181" s="58">
        <f t="shared" si="5"/>
        <v>1.6257951811200044E-2</v>
      </c>
    </row>
    <row r="182" spans="2:8" x14ac:dyDescent="0.45">
      <c r="B182" s="87">
        <v>45060</v>
      </c>
      <c r="C182" s="167">
        <v>2630.97</v>
      </c>
      <c r="D182" s="59">
        <f t="shared" si="4"/>
        <v>6.8771526980482278E-3</v>
      </c>
      <c r="E182" s="85"/>
      <c r="F182" s="87">
        <v>45060</v>
      </c>
      <c r="G182" s="167">
        <v>18203.400000000001</v>
      </c>
      <c r="H182" s="58">
        <f t="shared" si="5"/>
        <v>-6.0825125035489647E-3</v>
      </c>
    </row>
    <row r="183" spans="2:8" x14ac:dyDescent="0.45">
      <c r="B183" s="87">
        <v>45053</v>
      </c>
      <c r="C183" s="167">
        <v>2613</v>
      </c>
      <c r="D183" s="59">
        <f t="shared" si="4"/>
        <v>4.9047907725537243E-2</v>
      </c>
      <c r="E183" s="85"/>
      <c r="F183" s="87">
        <v>45053</v>
      </c>
      <c r="G183" s="167">
        <v>18314.8</v>
      </c>
      <c r="H183" s="58">
        <f t="shared" si="5"/>
        <v>1.3603409153799317E-2</v>
      </c>
    </row>
    <row r="184" spans="2:8" x14ac:dyDescent="0.45">
      <c r="B184" s="87">
        <v>45046</v>
      </c>
      <c r="C184" s="167">
        <v>2490.83</v>
      </c>
      <c r="D184" s="59">
        <f t="shared" si="4"/>
        <v>1.768298911156041E-2</v>
      </c>
      <c r="E184" s="85"/>
      <c r="F184" s="87">
        <v>45046</v>
      </c>
      <c r="G184" s="167">
        <v>18069</v>
      </c>
      <c r="H184" s="58">
        <f t="shared" si="5"/>
        <v>2.2142264046509652E-4</v>
      </c>
    </row>
    <row r="185" spans="2:8" x14ac:dyDescent="0.45">
      <c r="B185" s="87">
        <v>45039</v>
      </c>
      <c r="C185" s="167">
        <v>2447.5500000000002</v>
      </c>
      <c r="D185" s="59">
        <f t="shared" si="4"/>
        <v>-1.6273854118100894E-2</v>
      </c>
      <c r="E185" s="85"/>
      <c r="F185" s="87">
        <v>45039</v>
      </c>
      <c r="G185" s="167">
        <v>18065</v>
      </c>
      <c r="H185" s="58">
        <f t="shared" si="5"/>
        <v>2.5019788300645995E-2</v>
      </c>
    </row>
    <row r="186" spans="2:8" x14ac:dyDescent="0.45">
      <c r="B186" s="87">
        <v>45032</v>
      </c>
      <c r="C186" s="167">
        <v>2488.04</v>
      </c>
      <c r="D186" s="59">
        <f t="shared" si="4"/>
        <v>-1.5082299476671834E-2</v>
      </c>
      <c r="E186" s="85"/>
      <c r="F186" s="87">
        <v>45032</v>
      </c>
      <c r="G186" s="167">
        <v>17624.05</v>
      </c>
      <c r="H186" s="58">
        <f t="shared" si="5"/>
        <v>-1.143986986762402E-2</v>
      </c>
    </row>
    <row r="187" spans="2:8" x14ac:dyDescent="0.45">
      <c r="B187" s="87">
        <v>45025</v>
      </c>
      <c r="C187" s="167">
        <v>2526.14</v>
      </c>
      <c r="D187" s="59">
        <f t="shared" si="4"/>
        <v>-1.1326455531725066E-2</v>
      </c>
      <c r="E187" s="85"/>
      <c r="F187" s="87">
        <v>45025</v>
      </c>
      <c r="G187" s="167">
        <v>17828</v>
      </c>
      <c r="H187" s="58">
        <f t="shared" si="5"/>
        <v>1.3003468917532901E-2</v>
      </c>
    </row>
    <row r="188" spans="2:8" x14ac:dyDescent="0.45">
      <c r="B188" s="87">
        <v>45018</v>
      </c>
      <c r="C188" s="167">
        <v>2555.08</v>
      </c>
      <c r="D188" s="59">
        <f t="shared" si="4"/>
        <v>1.9135754058505761E-3</v>
      </c>
      <c r="E188" s="85"/>
      <c r="F188" s="87">
        <v>45018</v>
      </c>
      <c r="G188" s="167">
        <v>17599.150000000001</v>
      </c>
      <c r="H188" s="58">
        <f t="shared" si="5"/>
        <v>1.3790521176860304E-2</v>
      </c>
    </row>
    <row r="189" spans="2:8" x14ac:dyDescent="0.45">
      <c r="B189" s="87">
        <v>45011</v>
      </c>
      <c r="C189" s="167">
        <v>2550.1999999999998</v>
      </c>
      <c r="D189" s="59">
        <f t="shared" si="4"/>
        <v>3.206850778644732E-2</v>
      </c>
      <c r="E189" s="85"/>
      <c r="F189" s="87">
        <v>45011</v>
      </c>
      <c r="G189" s="167">
        <v>17359.75</v>
      </c>
      <c r="H189" s="58">
        <f t="shared" si="5"/>
        <v>2.4473223743807226E-2</v>
      </c>
    </row>
    <row r="190" spans="2:8" x14ac:dyDescent="0.45">
      <c r="B190" s="87">
        <v>45004</v>
      </c>
      <c r="C190" s="167">
        <v>2470.96</v>
      </c>
      <c r="D190" s="59">
        <f t="shared" si="4"/>
        <v>1.3648166912117565E-2</v>
      </c>
      <c r="E190" s="85"/>
      <c r="F190" s="87">
        <v>45004</v>
      </c>
      <c r="G190" s="167">
        <v>16945.05</v>
      </c>
      <c r="H190" s="58">
        <f t="shared" si="5"/>
        <v>-9.0643009815760678E-3</v>
      </c>
    </row>
    <row r="191" spans="2:8" x14ac:dyDescent="0.45">
      <c r="B191" s="87">
        <v>44997</v>
      </c>
      <c r="C191" s="167">
        <v>2437.69</v>
      </c>
      <c r="D191" s="59">
        <f t="shared" si="4"/>
        <v>-7.3218307020079809E-3</v>
      </c>
      <c r="E191" s="85"/>
      <c r="F191" s="87">
        <v>44997</v>
      </c>
      <c r="G191" s="167">
        <v>17100.05</v>
      </c>
      <c r="H191" s="58">
        <f t="shared" si="5"/>
        <v>-1.796656501788918E-2</v>
      </c>
    </row>
    <row r="192" spans="2:8" x14ac:dyDescent="0.45">
      <c r="B192" s="87">
        <v>44990</v>
      </c>
      <c r="C192" s="167">
        <v>2455.67</v>
      </c>
      <c r="D192" s="59">
        <f t="shared" si="4"/>
        <v>-2.246871444823606E-3</v>
      </c>
      <c r="E192" s="85"/>
      <c r="F192" s="87">
        <v>44990</v>
      </c>
      <c r="G192" s="167">
        <v>17412.900000000001</v>
      </c>
      <c r="H192" s="58">
        <f t="shared" si="5"/>
        <v>-1.0312969788596749E-2</v>
      </c>
    </row>
    <row r="193" spans="2:8" x14ac:dyDescent="0.45">
      <c r="B193" s="87">
        <v>44983</v>
      </c>
      <c r="C193" s="167">
        <v>2461.1999999999998</v>
      </c>
      <c r="D193" s="59">
        <f t="shared" si="4"/>
        <v>-5.3145270475074557E-3</v>
      </c>
      <c r="E193" s="85"/>
      <c r="F193" s="87">
        <v>44983</v>
      </c>
      <c r="G193" s="167">
        <v>17594.349999999999</v>
      </c>
      <c r="H193" s="58">
        <f t="shared" si="5"/>
        <v>7.360098020130712E-3</v>
      </c>
    </row>
    <row r="194" spans="2:8" x14ac:dyDescent="0.45">
      <c r="B194" s="87">
        <v>44976</v>
      </c>
      <c r="C194" s="167">
        <v>2474.35</v>
      </c>
      <c r="D194" s="59">
        <f t="shared" si="4"/>
        <v>-1.2440531306874503E-2</v>
      </c>
      <c r="E194" s="85"/>
      <c r="F194" s="87">
        <v>44976</v>
      </c>
      <c r="G194" s="167">
        <v>17465.8</v>
      </c>
      <c r="H194" s="58">
        <f t="shared" si="5"/>
        <v>-2.6660425095574092E-2</v>
      </c>
    </row>
    <row r="195" spans="2:8" x14ac:dyDescent="0.45">
      <c r="B195" s="87">
        <v>44969</v>
      </c>
      <c r="C195" s="167">
        <v>2505.52</v>
      </c>
      <c r="D195" s="59">
        <f t="shared" si="4"/>
        <v>-2.4056589074818557E-2</v>
      </c>
      <c r="E195" s="85"/>
      <c r="F195" s="87">
        <v>44969</v>
      </c>
      <c r="G195" s="167">
        <v>17944.2</v>
      </c>
      <c r="H195" s="58">
        <f t="shared" si="5"/>
        <v>4.9113768095652155E-3</v>
      </c>
    </row>
    <row r="196" spans="2:8" x14ac:dyDescent="0.45">
      <c r="B196" s="87">
        <v>44962</v>
      </c>
      <c r="C196" s="167">
        <v>2567.2800000000002</v>
      </c>
      <c r="D196" s="59">
        <f t="shared" ref="D196:D259" si="6">IFERROR((C196/C197)-1,0)</f>
        <v>-2.6900407467070897E-2</v>
      </c>
      <c r="E196" s="85"/>
      <c r="F196" s="87">
        <v>44962</v>
      </c>
      <c r="G196" s="167">
        <v>17856.5</v>
      </c>
      <c r="H196" s="58">
        <f t="shared" ref="H196:H259" si="7">IFERROR((G196/G197)-1,0)</f>
        <v>1.372237671564136E-4</v>
      </c>
    </row>
    <row r="197" spans="2:8" x14ac:dyDescent="0.45">
      <c r="B197" s="87">
        <v>44955</v>
      </c>
      <c r="C197" s="167">
        <v>2638.25</v>
      </c>
      <c r="D197" s="59">
        <f t="shared" si="6"/>
        <v>1.4013429216039652E-2</v>
      </c>
      <c r="E197" s="85"/>
      <c r="F197" s="87">
        <v>44955</v>
      </c>
      <c r="G197" s="167">
        <v>17854.05</v>
      </c>
      <c r="H197" s="58">
        <f t="shared" si="7"/>
        <v>1.4183994296864233E-2</v>
      </c>
    </row>
    <row r="198" spans="2:8" x14ac:dyDescent="0.45">
      <c r="B198" s="87">
        <v>44948</v>
      </c>
      <c r="C198" s="167">
        <v>2601.79</v>
      </c>
      <c r="D198" s="59">
        <f t="shared" si="6"/>
        <v>2.487552390256198E-2</v>
      </c>
      <c r="E198" s="85"/>
      <c r="F198" s="87">
        <v>44948</v>
      </c>
      <c r="G198" s="167">
        <v>17604.349999999999</v>
      </c>
      <c r="H198" s="58">
        <f t="shared" si="7"/>
        <v>-2.3480597859399488E-2</v>
      </c>
    </row>
    <row r="199" spans="2:8" x14ac:dyDescent="0.45">
      <c r="B199" s="87">
        <v>44941</v>
      </c>
      <c r="C199" s="167">
        <v>2538.64</v>
      </c>
      <c r="D199" s="59">
        <f t="shared" si="6"/>
        <v>-2.8677030444714036E-2</v>
      </c>
      <c r="E199" s="85"/>
      <c r="F199" s="87">
        <v>44941</v>
      </c>
      <c r="G199" s="167">
        <v>18027.650000000001</v>
      </c>
      <c r="H199" s="58">
        <f t="shared" si="7"/>
        <v>3.9567624160476988E-3</v>
      </c>
    </row>
    <row r="200" spans="2:8" x14ac:dyDescent="0.45">
      <c r="B200" s="87">
        <v>44934</v>
      </c>
      <c r="C200" s="167">
        <v>2613.59</v>
      </c>
      <c r="D200" s="59">
        <f t="shared" si="6"/>
        <v>1.8455087813641136E-2</v>
      </c>
      <c r="E200" s="85"/>
      <c r="F200" s="87">
        <v>44934</v>
      </c>
      <c r="G200" s="167">
        <v>17956.599999999999</v>
      </c>
      <c r="H200" s="58">
        <f t="shared" si="7"/>
        <v>5.4396971911228054E-3</v>
      </c>
    </row>
    <row r="201" spans="2:8" x14ac:dyDescent="0.45">
      <c r="B201" s="87">
        <v>44927</v>
      </c>
      <c r="C201" s="167">
        <v>2566.23</v>
      </c>
      <c r="D201" s="59">
        <f t="shared" si="6"/>
        <v>6.0135874145887946E-3</v>
      </c>
      <c r="E201" s="85"/>
      <c r="F201" s="87">
        <v>44927</v>
      </c>
      <c r="G201" s="167">
        <v>17859.45</v>
      </c>
      <c r="H201" s="58">
        <f t="shared" si="7"/>
        <v>-1.3578896787128536E-2</v>
      </c>
    </row>
    <row r="202" spans="2:8" x14ac:dyDescent="0.45">
      <c r="B202" s="87">
        <v>44920</v>
      </c>
      <c r="C202" s="167">
        <v>2550.89</v>
      </c>
      <c r="D202" s="59">
        <f t="shared" si="6"/>
        <v>-2.2913307108028191E-2</v>
      </c>
      <c r="E202" s="85"/>
      <c r="F202" s="87">
        <v>44920</v>
      </c>
      <c r="G202" s="167">
        <v>18105.3</v>
      </c>
      <c r="H202" s="58">
        <f t="shared" si="7"/>
        <v>1.6763258979715534E-2</v>
      </c>
    </row>
    <row r="203" spans="2:8" x14ac:dyDescent="0.45">
      <c r="B203" s="87">
        <v>44913</v>
      </c>
      <c r="C203" s="167">
        <v>2610.71</v>
      </c>
      <c r="D203" s="59">
        <f t="shared" si="6"/>
        <v>-1.8791976577680392E-2</v>
      </c>
      <c r="E203" s="85"/>
      <c r="F203" s="87">
        <v>44913</v>
      </c>
      <c r="G203" s="167">
        <v>17806.8</v>
      </c>
      <c r="H203" s="58">
        <f t="shared" si="7"/>
        <v>-2.5299687996058973E-2</v>
      </c>
    </row>
    <row r="204" spans="2:8" x14ac:dyDescent="0.45">
      <c r="B204" s="87">
        <v>44906</v>
      </c>
      <c r="C204" s="167">
        <v>2660.71</v>
      </c>
      <c r="D204" s="59">
        <f t="shared" si="6"/>
        <v>-1.8713234616164698E-2</v>
      </c>
      <c r="E204" s="85"/>
      <c r="F204" s="87">
        <v>44906</v>
      </c>
      <c r="G204" s="167">
        <v>18269</v>
      </c>
      <c r="H204" s="58">
        <f t="shared" si="7"/>
        <v>-1.2304964155574472E-2</v>
      </c>
    </row>
    <row r="205" spans="2:8" x14ac:dyDescent="0.45">
      <c r="B205" s="87">
        <v>44899</v>
      </c>
      <c r="C205" s="167">
        <v>2711.45</v>
      </c>
      <c r="D205" s="59">
        <f t="shared" si="6"/>
        <v>4.0971617019806228E-2</v>
      </c>
      <c r="E205" s="85"/>
      <c r="F205" s="87">
        <v>44899</v>
      </c>
      <c r="G205" s="167">
        <v>18496.599999999999</v>
      </c>
      <c r="H205" s="58">
        <f t="shared" si="7"/>
        <v>-1.0670674632677457E-2</v>
      </c>
    </row>
    <row r="206" spans="2:8" x14ac:dyDescent="0.45">
      <c r="B206" s="87">
        <v>44892</v>
      </c>
      <c r="C206" s="167">
        <v>2604.73</v>
      </c>
      <c r="D206" s="59">
        <f t="shared" si="6"/>
        <v>3.0600738311064024E-2</v>
      </c>
      <c r="E206" s="85"/>
      <c r="F206" s="87">
        <v>44892</v>
      </c>
      <c r="G206" s="167">
        <v>18696.099999999999</v>
      </c>
      <c r="H206" s="58">
        <f t="shared" si="7"/>
        <v>9.9039850913558158E-3</v>
      </c>
    </row>
    <row r="207" spans="2:8" x14ac:dyDescent="0.45">
      <c r="B207" s="87">
        <v>44885</v>
      </c>
      <c r="C207" s="167">
        <v>2527.39</v>
      </c>
      <c r="D207" s="59">
        <f t="shared" si="6"/>
        <v>2.1642379287345692E-2</v>
      </c>
      <c r="E207" s="85"/>
      <c r="F207" s="87">
        <v>44885</v>
      </c>
      <c r="G207" s="167">
        <v>18512.75</v>
      </c>
      <c r="H207" s="58">
        <f t="shared" si="7"/>
        <v>1.1202967065680136E-2</v>
      </c>
    </row>
    <row r="208" spans="2:8" x14ac:dyDescent="0.45">
      <c r="B208" s="87">
        <v>44878</v>
      </c>
      <c r="C208" s="167">
        <v>2473.85</v>
      </c>
      <c r="D208" s="59">
        <f t="shared" si="6"/>
        <v>-7.729270953664491E-3</v>
      </c>
      <c r="E208" s="85"/>
      <c r="F208" s="87">
        <v>44878</v>
      </c>
      <c r="G208" s="167">
        <v>18307.650000000001</v>
      </c>
      <c r="H208" s="58">
        <f t="shared" si="7"/>
        <v>-2.2915905982113793E-3</v>
      </c>
    </row>
    <row r="209" spans="2:8" x14ac:dyDescent="0.45">
      <c r="B209" s="87">
        <v>44871</v>
      </c>
      <c r="C209" s="167">
        <v>2493.12</v>
      </c>
      <c r="D209" s="59">
        <f t="shared" si="6"/>
        <v>-6.8635847590973187E-3</v>
      </c>
      <c r="E209" s="85"/>
      <c r="F209" s="87">
        <v>44871</v>
      </c>
      <c r="G209" s="167">
        <v>18349.7</v>
      </c>
      <c r="H209" s="58">
        <f t="shared" si="7"/>
        <v>1.2835904101914375E-2</v>
      </c>
    </row>
    <row r="210" spans="2:8" x14ac:dyDescent="0.45">
      <c r="B210" s="87">
        <v>44864</v>
      </c>
      <c r="C210" s="167">
        <v>2510.35</v>
      </c>
      <c r="D210" s="59">
        <f t="shared" si="6"/>
        <v>-1.5471872215857552E-3</v>
      </c>
      <c r="E210" s="85"/>
      <c r="F210" s="87">
        <v>44864</v>
      </c>
      <c r="G210" s="167">
        <v>18117.150000000001</v>
      </c>
      <c r="H210" s="58">
        <f t="shared" si="7"/>
        <v>1.8572761823374861E-2</v>
      </c>
    </row>
    <row r="211" spans="2:8" x14ac:dyDescent="0.45">
      <c r="B211" s="87">
        <v>44857</v>
      </c>
      <c r="C211" s="167">
        <v>2514.2399999999998</v>
      </c>
      <c r="D211" s="59">
        <f t="shared" si="6"/>
        <v>-4.8854118590592521E-2</v>
      </c>
      <c r="E211" s="85"/>
      <c r="F211" s="87">
        <v>44857</v>
      </c>
      <c r="G211" s="167">
        <v>17786.8</v>
      </c>
      <c r="H211" s="58">
        <f t="shared" si="7"/>
        <v>1.1976354522851729E-2</v>
      </c>
    </row>
    <row r="212" spans="2:8" x14ac:dyDescent="0.45">
      <c r="B212" s="87">
        <v>44850</v>
      </c>
      <c r="C212" s="167">
        <v>2643.38</v>
      </c>
      <c r="D212" s="59">
        <f t="shared" si="6"/>
        <v>3.0324527007538293E-2</v>
      </c>
      <c r="E212" s="85"/>
      <c r="F212" s="87">
        <v>44850</v>
      </c>
      <c r="G212" s="167">
        <v>17576.3</v>
      </c>
      <c r="H212" s="58">
        <f t="shared" si="7"/>
        <v>2.2728198444055048E-2</v>
      </c>
    </row>
    <row r="213" spans="2:8" x14ac:dyDescent="0.45">
      <c r="B213" s="87">
        <v>44843</v>
      </c>
      <c r="C213" s="167">
        <v>2565.58</v>
      </c>
      <c r="D213" s="59">
        <f t="shared" si="6"/>
        <v>-9.1952158616508406E-3</v>
      </c>
      <c r="E213" s="85"/>
      <c r="F213" s="87">
        <v>44843</v>
      </c>
      <c r="G213" s="167">
        <v>17185.7</v>
      </c>
      <c r="H213" s="58">
        <f t="shared" si="7"/>
        <v>-7.4474505693156168E-3</v>
      </c>
    </row>
    <row r="214" spans="2:8" x14ac:dyDescent="0.45">
      <c r="B214" s="87">
        <v>44836</v>
      </c>
      <c r="C214" s="167">
        <v>2589.39</v>
      </c>
      <c r="D214" s="59">
        <f t="shared" si="6"/>
        <v>-3.5881836053854532E-2</v>
      </c>
      <c r="E214" s="85"/>
      <c r="F214" s="87">
        <v>44836</v>
      </c>
      <c r="G214" s="167">
        <v>17314.650000000001</v>
      </c>
      <c r="H214" s="58">
        <f t="shared" si="7"/>
        <v>1.2887299019851861E-2</v>
      </c>
    </row>
    <row r="215" spans="2:8" x14ac:dyDescent="0.45">
      <c r="B215" s="87">
        <v>44829</v>
      </c>
      <c r="C215" s="167">
        <v>2685.76</v>
      </c>
      <c r="D215" s="59">
        <f t="shared" si="6"/>
        <v>5.3716950973456967E-3</v>
      </c>
      <c r="E215" s="85"/>
      <c r="F215" s="87">
        <v>44829</v>
      </c>
      <c r="G215" s="167">
        <v>17094.349999999999</v>
      </c>
      <c r="H215" s="58">
        <f t="shared" si="7"/>
        <v>-1.3446949475828696E-2</v>
      </c>
    </row>
    <row r="216" spans="2:8" x14ac:dyDescent="0.45">
      <c r="B216" s="87">
        <v>44822</v>
      </c>
      <c r="C216" s="167">
        <v>2671.41</v>
      </c>
      <c r="D216" s="59">
        <f t="shared" si="6"/>
        <v>6.0874779597477557E-2</v>
      </c>
      <c r="E216" s="85"/>
      <c r="F216" s="87">
        <v>44822</v>
      </c>
      <c r="G216" s="167">
        <v>17327.349999999999</v>
      </c>
      <c r="H216" s="58">
        <f t="shared" si="7"/>
        <v>-1.1608107992481798E-2</v>
      </c>
    </row>
    <row r="217" spans="2:8" x14ac:dyDescent="0.45">
      <c r="B217" s="87">
        <v>44815</v>
      </c>
      <c r="C217" s="167">
        <v>2518.12</v>
      </c>
      <c r="D217" s="59">
        <f t="shared" si="6"/>
        <v>-2.3390202565126805E-2</v>
      </c>
      <c r="E217" s="85"/>
      <c r="F217" s="87">
        <v>44815</v>
      </c>
      <c r="G217" s="167">
        <v>17530.849999999999</v>
      </c>
      <c r="H217" s="58">
        <f t="shared" si="7"/>
        <v>-1.6962600969531838E-2</v>
      </c>
    </row>
    <row r="218" spans="2:8" x14ac:dyDescent="0.45">
      <c r="B218" s="87">
        <v>44808</v>
      </c>
      <c r="C218" s="167">
        <v>2578.4299999999998</v>
      </c>
      <c r="D218" s="59">
        <f t="shared" si="6"/>
        <v>-5.7225047912481397E-3</v>
      </c>
      <c r="E218" s="85"/>
      <c r="F218" s="87">
        <v>44808</v>
      </c>
      <c r="G218" s="167">
        <v>17833.349999999999</v>
      </c>
      <c r="H218" s="58">
        <f t="shared" si="7"/>
        <v>1.6756511749228098E-2</v>
      </c>
    </row>
    <row r="219" spans="2:8" x14ac:dyDescent="0.45">
      <c r="B219" s="87">
        <v>44801</v>
      </c>
      <c r="C219" s="167">
        <v>2593.27</v>
      </c>
      <c r="D219" s="59">
        <f t="shared" si="6"/>
        <v>1.2462178148242131E-2</v>
      </c>
      <c r="E219" s="85"/>
      <c r="F219" s="87">
        <v>44801</v>
      </c>
      <c r="G219" s="167">
        <v>17539.45</v>
      </c>
      <c r="H219" s="58">
        <f t="shared" si="7"/>
        <v>-1.1077003684741848E-3</v>
      </c>
    </row>
    <row r="220" spans="2:8" x14ac:dyDescent="0.45">
      <c r="B220" s="87">
        <v>44794</v>
      </c>
      <c r="C220" s="167">
        <v>2561.35</v>
      </c>
      <c r="D220" s="59">
        <f t="shared" si="6"/>
        <v>-2.3912960634122182E-2</v>
      </c>
      <c r="E220" s="85"/>
      <c r="F220" s="87">
        <v>44794</v>
      </c>
      <c r="G220" s="167">
        <v>17558.900000000001</v>
      </c>
      <c r="H220" s="58">
        <f t="shared" si="7"/>
        <v>-1.1236904121699753E-2</v>
      </c>
    </row>
    <row r="221" spans="2:8" x14ac:dyDescent="0.45">
      <c r="B221" s="87">
        <v>44787</v>
      </c>
      <c r="C221" s="167">
        <v>2624.1</v>
      </c>
      <c r="D221" s="59">
        <f t="shared" si="6"/>
        <v>1.5259260405623865E-2</v>
      </c>
      <c r="E221" s="85"/>
      <c r="F221" s="87">
        <v>44787</v>
      </c>
      <c r="G221" s="167">
        <v>17758.45</v>
      </c>
      <c r="H221" s="58">
        <f t="shared" si="7"/>
        <v>3.4071357740781405E-3</v>
      </c>
    </row>
    <row r="222" spans="2:8" x14ac:dyDescent="0.45">
      <c r="B222" s="87">
        <v>44780</v>
      </c>
      <c r="C222" s="167">
        <v>2584.66</v>
      </c>
      <c r="D222" s="59">
        <f t="shared" si="6"/>
        <v>-1.9070860105278697E-2</v>
      </c>
      <c r="E222" s="85"/>
      <c r="F222" s="87">
        <v>44780</v>
      </c>
      <c r="G222" s="167">
        <v>17698.150000000001</v>
      </c>
      <c r="H222" s="58">
        <f t="shared" si="7"/>
        <v>1.7281218565885936E-2</v>
      </c>
    </row>
    <row r="223" spans="2:8" x14ac:dyDescent="0.45">
      <c r="B223" s="87">
        <v>44773</v>
      </c>
      <c r="C223" s="167">
        <v>2634.91</v>
      </c>
      <c r="D223" s="59">
        <f t="shared" si="6"/>
        <v>3.0339482439643017E-3</v>
      </c>
      <c r="E223" s="85"/>
      <c r="F223" s="87">
        <v>44773</v>
      </c>
      <c r="G223" s="167">
        <v>17397.5</v>
      </c>
      <c r="H223" s="58">
        <f t="shared" si="7"/>
        <v>1.3943729692713402E-2</v>
      </c>
    </row>
    <row r="224" spans="2:8" x14ac:dyDescent="0.45">
      <c r="B224" s="87">
        <v>44766</v>
      </c>
      <c r="C224" s="167">
        <v>2626.94</v>
      </c>
      <c r="D224" s="59">
        <f t="shared" si="6"/>
        <v>-1.2128678050135067E-3</v>
      </c>
      <c r="E224" s="85"/>
      <c r="F224" s="87">
        <v>44766</v>
      </c>
      <c r="G224" s="167">
        <v>17158.25</v>
      </c>
      <c r="H224" s="58">
        <f t="shared" si="7"/>
        <v>2.6244882457257868E-2</v>
      </c>
    </row>
    <row r="225" spans="2:8" x14ac:dyDescent="0.45">
      <c r="B225" s="87">
        <v>44759</v>
      </c>
      <c r="C225" s="167">
        <v>2630.13</v>
      </c>
      <c r="D225" s="59">
        <f t="shared" si="6"/>
        <v>2.8073220211780603E-2</v>
      </c>
      <c r="E225" s="85"/>
      <c r="F225" s="87">
        <v>44759</v>
      </c>
      <c r="G225" s="167">
        <v>16719.45</v>
      </c>
      <c r="H225" s="58">
        <f t="shared" si="7"/>
        <v>4.1762206215886222E-2</v>
      </c>
    </row>
    <row r="226" spans="2:8" x14ac:dyDescent="0.45">
      <c r="B226" s="87">
        <v>44752</v>
      </c>
      <c r="C226" s="167">
        <v>2558.31</v>
      </c>
      <c r="D226" s="59">
        <f t="shared" si="6"/>
        <v>2.8693781539636865E-2</v>
      </c>
      <c r="E226" s="85"/>
      <c r="F226" s="87">
        <v>44752</v>
      </c>
      <c r="G226" s="167">
        <v>16049.2</v>
      </c>
      <c r="H226" s="58">
        <f t="shared" si="7"/>
        <v>-1.0566810105668067E-2</v>
      </c>
    </row>
    <row r="227" spans="2:8" x14ac:dyDescent="0.45">
      <c r="B227" s="87">
        <v>44745</v>
      </c>
      <c r="C227" s="167">
        <v>2486.9499999999998</v>
      </c>
      <c r="D227" s="59">
        <f t="shared" si="6"/>
        <v>9.3982316456252768E-2</v>
      </c>
      <c r="E227" s="85"/>
      <c r="F227" s="87">
        <v>44745</v>
      </c>
      <c r="G227" s="167">
        <v>16220.6</v>
      </c>
      <c r="H227" s="58">
        <f t="shared" si="7"/>
        <v>2.9745334734209372E-2</v>
      </c>
    </row>
    <row r="228" spans="2:8" x14ac:dyDescent="0.45">
      <c r="B228" s="87">
        <v>44738</v>
      </c>
      <c r="C228" s="167">
        <v>2273.3000000000002</v>
      </c>
      <c r="D228" s="59">
        <f t="shared" si="6"/>
        <v>-9.3517404870225862E-3</v>
      </c>
      <c r="E228" s="85"/>
      <c r="F228" s="87">
        <v>44738</v>
      </c>
      <c r="G228" s="167">
        <v>15752.05</v>
      </c>
      <c r="H228" s="58">
        <f t="shared" si="7"/>
        <v>3.3632179881204483E-3</v>
      </c>
    </row>
    <row r="229" spans="2:8" x14ac:dyDescent="0.45">
      <c r="B229" s="87">
        <v>44731</v>
      </c>
      <c r="C229" s="167">
        <v>2294.7600000000002</v>
      </c>
      <c r="D229" s="59">
        <f t="shared" si="6"/>
        <v>9.1661592327599406E-2</v>
      </c>
      <c r="E229" s="85"/>
      <c r="F229" s="87">
        <v>44731</v>
      </c>
      <c r="G229" s="167">
        <v>15699.25</v>
      </c>
      <c r="H229" s="58">
        <f t="shared" si="7"/>
        <v>2.6530879131657192E-2</v>
      </c>
    </row>
    <row r="230" spans="2:8" x14ac:dyDescent="0.45">
      <c r="B230" s="87">
        <v>44724</v>
      </c>
      <c r="C230" s="167">
        <v>2102.08</v>
      </c>
      <c r="D230" s="59">
        <f t="shared" si="6"/>
        <v>-4.0663021750837358E-2</v>
      </c>
      <c r="E230" s="85"/>
      <c r="F230" s="87">
        <v>44724</v>
      </c>
      <c r="G230" s="167">
        <v>15293.5</v>
      </c>
      <c r="H230" s="58">
        <f t="shared" si="7"/>
        <v>-5.6061672159883447E-2</v>
      </c>
    </row>
    <row r="231" spans="2:8" x14ac:dyDescent="0.45">
      <c r="B231" s="87">
        <v>44717</v>
      </c>
      <c r="C231" s="167">
        <v>2191.1799999999998</v>
      </c>
      <c r="D231" s="59">
        <f t="shared" si="6"/>
        <v>-4.0160149987296778E-2</v>
      </c>
      <c r="E231" s="85"/>
      <c r="F231" s="87">
        <v>44717</v>
      </c>
      <c r="G231" s="167">
        <v>16201.8</v>
      </c>
      <c r="H231" s="58">
        <f t="shared" si="7"/>
        <v>-2.3063982200032584E-2</v>
      </c>
    </row>
    <row r="232" spans="2:8" x14ac:dyDescent="0.45">
      <c r="B232" s="87">
        <v>44710</v>
      </c>
      <c r="C232" s="167">
        <v>2282.86</v>
      </c>
      <c r="D232" s="59">
        <f t="shared" si="6"/>
        <v>-1.6585105283109858E-2</v>
      </c>
      <c r="E232" s="85"/>
      <c r="F232" s="87">
        <v>44710</v>
      </c>
      <c r="G232" s="167">
        <v>16584.3</v>
      </c>
      <c r="H232" s="58">
        <f t="shared" si="7"/>
        <v>1.4178303556959371E-2</v>
      </c>
    </row>
    <row r="233" spans="2:8" x14ac:dyDescent="0.45">
      <c r="B233" s="87">
        <v>44703</v>
      </c>
      <c r="C233" s="167">
        <v>2321.36</v>
      </c>
      <c r="D233" s="59">
        <f t="shared" si="6"/>
        <v>1.9985065156493675E-3</v>
      </c>
      <c r="E233" s="85"/>
      <c r="F233" s="87">
        <v>44703</v>
      </c>
      <c r="G233" s="167">
        <v>16352.45</v>
      </c>
      <c r="H233" s="58">
        <f t="shared" si="7"/>
        <v>5.3054963835941216E-3</v>
      </c>
    </row>
    <row r="234" spans="2:8" x14ac:dyDescent="0.45">
      <c r="B234" s="87">
        <v>44696</v>
      </c>
      <c r="C234" s="167">
        <v>2316.73</v>
      </c>
      <c r="D234" s="59">
        <f t="shared" si="6"/>
        <v>6.0094261920014658E-2</v>
      </c>
      <c r="E234" s="85"/>
      <c r="F234" s="87">
        <v>44696</v>
      </c>
      <c r="G234" s="167">
        <v>16266.15</v>
      </c>
      <c r="H234" s="58">
        <f t="shared" si="7"/>
        <v>3.0667557968971249E-2</v>
      </c>
    </row>
    <row r="235" spans="2:8" x14ac:dyDescent="0.45">
      <c r="B235" s="87">
        <v>44689</v>
      </c>
      <c r="C235" s="167">
        <v>2185.4</v>
      </c>
      <c r="D235" s="59">
        <f t="shared" si="6"/>
        <v>2.0890558140404192E-2</v>
      </c>
      <c r="E235" s="85"/>
      <c r="F235" s="87">
        <v>44689</v>
      </c>
      <c r="G235" s="167">
        <v>15782.15</v>
      </c>
      <c r="H235" s="58">
        <f t="shared" si="7"/>
        <v>-3.8333460278772158E-2</v>
      </c>
    </row>
    <row r="236" spans="2:8" x14ac:dyDescent="0.45">
      <c r="B236" s="87">
        <v>44682</v>
      </c>
      <c r="C236" s="167">
        <v>2140.6799999999998</v>
      </c>
      <c r="D236" s="59">
        <f t="shared" si="6"/>
        <v>-3.8324520775025905E-2</v>
      </c>
      <c r="E236" s="85"/>
      <c r="F236" s="87">
        <v>44682</v>
      </c>
      <c r="G236" s="167">
        <v>16411.25</v>
      </c>
      <c r="H236" s="58">
        <f t="shared" si="7"/>
        <v>-4.0420872910764682E-2</v>
      </c>
    </row>
    <row r="237" spans="2:8" x14ac:dyDescent="0.45">
      <c r="B237" s="87">
        <v>44675</v>
      </c>
      <c r="C237" s="167">
        <v>2225.9899999999998</v>
      </c>
      <c r="D237" s="59">
        <f t="shared" si="6"/>
        <v>5.0733770432992875E-2</v>
      </c>
      <c r="E237" s="85"/>
      <c r="F237" s="87">
        <v>44675</v>
      </c>
      <c r="G237" s="167">
        <v>17102.55</v>
      </c>
      <c r="H237" s="58">
        <f t="shared" si="7"/>
        <v>-4.0414746141237412E-3</v>
      </c>
    </row>
    <row r="238" spans="2:8" x14ac:dyDescent="0.45">
      <c r="B238" s="87">
        <v>44668</v>
      </c>
      <c r="C238" s="167">
        <v>2118.5100000000002</v>
      </c>
      <c r="D238" s="59">
        <f t="shared" si="6"/>
        <v>-1.170921949421766E-2</v>
      </c>
      <c r="E238" s="85"/>
      <c r="F238" s="87">
        <v>44668</v>
      </c>
      <c r="G238" s="167">
        <v>17171.95</v>
      </c>
      <c r="H238" s="58">
        <f t="shared" si="7"/>
        <v>-1.7378466609253462E-2</v>
      </c>
    </row>
    <row r="239" spans="2:8" x14ac:dyDescent="0.45">
      <c r="B239" s="87">
        <v>44661</v>
      </c>
      <c r="C239" s="167">
        <v>2143.61</v>
      </c>
      <c r="D239" s="59">
        <f t="shared" si="6"/>
        <v>-1.4155694240683525E-2</v>
      </c>
      <c r="E239" s="85"/>
      <c r="F239" s="87">
        <v>44661</v>
      </c>
      <c r="G239" s="167">
        <v>17475.650000000001</v>
      </c>
      <c r="H239" s="58">
        <f t="shared" si="7"/>
        <v>-1.7357957979909133E-2</v>
      </c>
    </row>
    <row r="240" spans="2:8" x14ac:dyDescent="0.45">
      <c r="B240" s="87">
        <v>44654</v>
      </c>
      <c r="C240" s="167">
        <v>2174.39</v>
      </c>
      <c r="D240" s="59">
        <f t="shared" si="6"/>
        <v>5.0475624544062292E-2</v>
      </c>
      <c r="E240" s="85"/>
      <c r="F240" s="87">
        <v>44654</v>
      </c>
      <c r="G240" s="167">
        <v>17784.349999999999</v>
      </c>
      <c r="H240" s="58">
        <f t="shared" si="7"/>
        <v>6.4457894394311932E-3</v>
      </c>
    </row>
    <row r="241" spans="2:8" x14ac:dyDescent="0.45">
      <c r="B241" s="87">
        <v>44647</v>
      </c>
      <c r="C241" s="167">
        <v>2069.91</v>
      </c>
      <c r="D241" s="59">
        <f t="shared" si="6"/>
        <v>6.4084307929571871E-2</v>
      </c>
      <c r="E241" s="85"/>
      <c r="F241" s="87">
        <v>44647</v>
      </c>
      <c r="G241" s="167">
        <v>17670.45</v>
      </c>
      <c r="H241" s="58">
        <f t="shared" si="7"/>
        <v>3.0166734681979834E-2</v>
      </c>
    </row>
    <row r="242" spans="2:8" x14ac:dyDescent="0.45">
      <c r="B242" s="87">
        <v>44640</v>
      </c>
      <c r="C242" s="167">
        <v>1945.25</v>
      </c>
      <c r="D242" s="59">
        <f t="shared" si="6"/>
        <v>-7.0907623309818479E-2</v>
      </c>
      <c r="E242" s="85"/>
      <c r="F242" s="87">
        <v>44640</v>
      </c>
      <c r="G242" s="167">
        <v>17153</v>
      </c>
      <c r="H242" s="58">
        <f t="shared" si="7"/>
        <v>-7.7543594771808388E-3</v>
      </c>
    </row>
    <row r="243" spans="2:8" x14ac:dyDescent="0.45">
      <c r="B243" s="87">
        <v>44633</v>
      </c>
      <c r="C243" s="167">
        <v>2093.71</v>
      </c>
      <c r="D243" s="59">
        <f t="shared" si="6"/>
        <v>3.6527666591565922E-3</v>
      </c>
      <c r="E243" s="85"/>
      <c r="F243" s="87">
        <v>44633</v>
      </c>
      <c r="G243" s="167">
        <v>17287.05</v>
      </c>
      <c r="H243" s="58">
        <f t="shared" si="7"/>
        <v>3.9481793938227705E-2</v>
      </c>
    </row>
    <row r="244" spans="2:8" x14ac:dyDescent="0.45">
      <c r="B244" s="87">
        <v>44626</v>
      </c>
      <c r="C244" s="167">
        <v>2086.09</v>
      </c>
      <c r="D244" s="59">
        <f t="shared" si="6"/>
        <v>3.7086935555235234E-2</v>
      </c>
      <c r="E244" s="85"/>
      <c r="F244" s="87">
        <v>44626</v>
      </c>
      <c r="G244" s="167">
        <v>16630.45</v>
      </c>
      <c r="H244" s="58">
        <f t="shared" si="7"/>
        <v>2.3705244885459553E-2</v>
      </c>
    </row>
    <row r="245" spans="2:8" x14ac:dyDescent="0.45">
      <c r="B245" s="87">
        <v>44619</v>
      </c>
      <c r="C245" s="167">
        <v>2011.49</v>
      </c>
      <c r="D245" s="59">
        <f t="shared" si="6"/>
        <v>-6.9654824729775466E-2</v>
      </c>
      <c r="E245" s="85"/>
      <c r="F245" s="87">
        <v>44619</v>
      </c>
      <c r="G245" s="167">
        <v>16245.35</v>
      </c>
      <c r="H245" s="58">
        <f t="shared" si="7"/>
        <v>-2.4795298468040183E-2</v>
      </c>
    </row>
    <row r="246" spans="2:8" x14ac:dyDescent="0.45">
      <c r="B246" s="87">
        <v>44612</v>
      </c>
      <c r="C246" s="167">
        <v>2162.09</v>
      </c>
      <c r="D246" s="59">
        <f t="shared" si="6"/>
        <v>-6.1340291224200927E-2</v>
      </c>
      <c r="E246" s="85"/>
      <c r="F246" s="87">
        <v>44612</v>
      </c>
      <c r="G246" s="167">
        <v>16658.400000000001</v>
      </c>
      <c r="H246" s="58">
        <f t="shared" si="7"/>
        <v>-3.5765760029635829E-2</v>
      </c>
    </row>
    <row r="247" spans="2:8" x14ac:dyDescent="0.45">
      <c r="B247" s="87">
        <v>44605</v>
      </c>
      <c r="C247" s="167">
        <v>2303.38</v>
      </c>
      <c r="D247" s="59">
        <f t="shared" si="6"/>
        <v>2.4161419983637522E-2</v>
      </c>
      <c r="E247" s="85"/>
      <c r="F247" s="87">
        <v>44605</v>
      </c>
      <c r="G247" s="167">
        <v>17276.3</v>
      </c>
      <c r="H247" s="58">
        <f t="shared" si="7"/>
        <v>-5.6662685794041101E-3</v>
      </c>
    </row>
    <row r="248" spans="2:8" x14ac:dyDescent="0.45">
      <c r="B248" s="87">
        <v>44598</v>
      </c>
      <c r="C248" s="167">
        <v>2249.04</v>
      </c>
      <c r="D248" s="59">
        <f t="shared" si="6"/>
        <v>-2.1071187621058085E-2</v>
      </c>
      <c r="E248" s="85"/>
      <c r="F248" s="87">
        <v>44598</v>
      </c>
      <c r="G248" s="167">
        <v>17374.75</v>
      </c>
      <c r="H248" s="58">
        <f t="shared" si="7"/>
        <v>-8.0810445128252084E-3</v>
      </c>
    </row>
    <row r="249" spans="2:8" x14ac:dyDescent="0.45">
      <c r="B249" s="87">
        <v>44591</v>
      </c>
      <c r="C249" s="167">
        <v>2297.4499999999998</v>
      </c>
      <c r="D249" s="59">
        <f t="shared" si="6"/>
        <v>1.0094570651003165E-2</v>
      </c>
      <c r="E249" s="85"/>
      <c r="F249" s="87">
        <v>44591</v>
      </c>
      <c r="G249" s="167">
        <v>17516.3</v>
      </c>
      <c r="H249" s="58">
        <f t="shared" si="7"/>
        <v>2.4228231283567103E-2</v>
      </c>
    </row>
    <row r="250" spans="2:8" x14ac:dyDescent="0.45">
      <c r="B250" s="87">
        <v>44584</v>
      </c>
      <c r="C250" s="167">
        <v>2274.4899999999998</v>
      </c>
      <c r="D250" s="59">
        <f t="shared" si="6"/>
        <v>-1.7999464635736429E-2</v>
      </c>
      <c r="E250" s="85"/>
      <c r="F250" s="87">
        <v>44584</v>
      </c>
      <c r="G250" s="167">
        <v>17101.95</v>
      </c>
      <c r="H250" s="58">
        <f t="shared" si="7"/>
        <v>-2.9244230763772805E-2</v>
      </c>
    </row>
    <row r="251" spans="2:8" x14ac:dyDescent="0.45">
      <c r="B251" s="87">
        <v>44577</v>
      </c>
      <c r="C251" s="167">
        <v>2316.1799999999998</v>
      </c>
      <c r="D251" s="59">
        <f t="shared" si="6"/>
        <v>-1.6204185479520739E-2</v>
      </c>
      <c r="E251" s="85"/>
      <c r="F251" s="87">
        <v>44577</v>
      </c>
      <c r="G251" s="167">
        <v>17617.150000000001</v>
      </c>
      <c r="H251" s="58">
        <f t="shared" si="7"/>
        <v>-3.4980759486736956E-2</v>
      </c>
    </row>
    <row r="252" spans="2:8" x14ac:dyDescent="0.45">
      <c r="B252" s="87">
        <v>44570</v>
      </c>
      <c r="C252" s="167">
        <v>2354.33</v>
      </c>
      <c r="D252" s="59">
        <f t="shared" si="6"/>
        <v>-2.1707243088711414E-2</v>
      </c>
      <c r="E252" s="85"/>
      <c r="F252" s="87">
        <v>44570</v>
      </c>
      <c r="G252" s="167">
        <v>18255.75</v>
      </c>
      <c r="H252" s="58">
        <f t="shared" si="7"/>
        <v>2.4872703183683509E-2</v>
      </c>
    </row>
    <row r="253" spans="2:8" x14ac:dyDescent="0.45">
      <c r="B253" s="87">
        <v>44563</v>
      </c>
      <c r="C253" s="167">
        <v>2406.5700000000002</v>
      </c>
      <c r="D253" s="59">
        <f t="shared" si="6"/>
        <v>2.3728193500908379E-2</v>
      </c>
      <c r="E253" s="85"/>
      <c r="F253" s="87">
        <v>44563</v>
      </c>
      <c r="G253" s="167">
        <v>17812.7</v>
      </c>
      <c r="H253" s="58">
        <f t="shared" si="7"/>
        <v>2.6428989198486796E-2</v>
      </c>
    </row>
    <row r="254" spans="2:8" x14ac:dyDescent="0.45">
      <c r="B254" s="87">
        <v>44556</v>
      </c>
      <c r="C254" s="167">
        <v>2350.79</v>
      </c>
      <c r="D254" s="59">
        <f t="shared" si="6"/>
        <v>2.7515036016504624E-2</v>
      </c>
      <c r="E254" s="85"/>
      <c r="F254" s="87">
        <v>44556</v>
      </c>
      <c r="G254" s="167">
        <v>17354.05</v>
      </c>
      <c r="H254" s="58">
        <f t="shared" si="7"/>
        <v>2.0601337940160169E-2</v>
      </c>
    </row>
    <row r="255" spans="2:8" x14ac:dyDescent="0.45">
      <c r="B255" s="87">
        <v>44549</v>
      </c>
      <c r="C255" s="167">
        <v>2287.84</v>
      </c>
      <c r="D255" s="59">
        <f t="shared" si="6"/>
        <v>2.9904430069190413E-2</v>
      </c>
      <c r="E255" s="85"/>
      <c r="F255" s="87">
        <v>44549</v>
      </c>
      <c r="G255" s="167">
        <v>17003.75</v>
      </c>
      <c r="H255" s="58">
        <f t="shared" si="7"/>
        <v>1.0921272637354207E-3</v>
      </c>
    </row>
    <row r="256" spans="2:8" x14ac:dyDescent="0.45">
      <c r="B256" s="87">
        <v>44542</v>
      </c>
      <c r="C256" s="167">
        <v>2221.41</v>
      </c>
      <c r="D256" s="59">
        <f t="shared" si="6"/>
        <v>-4.3958597835209168E-2</v>
      </c>
      <c r="E256" s="85"/>
      <c r="F256" s="87">
        <v>44542</v>
      </c>
      <c r="G256" s="167">
        <v>16985.2</v>
      </c>
      <c r="H256" s="58">
        <f t="shared" si="7"/>
        <v>-3.004345765305827E-2</v>
      </c>
    </row>
    <row r="257" spans="2:8" x14ac:dyDescent="0.45">
      <c r="B257" s="87">
        <v>44535</v>
      </c>
      <c r="C257" s="167">
        <v>2323.5500000000002</v>
      </c>
      <c r="D257" s="59">
        <f t="shared" si="6"/>
        <v>-4.6265555722148077E-3</v>
      </c>
      <c r="E257" s="85"/>
      <c r="F257" s="87">
        <v>44535</v>
      </c>
      <c r="G257" s="167">
        <v>17511.3</v>
      </c>
      <c r="H257" s="58">
        <f t="shared" si="7"/>
        <v>1.8294207609599322E-2</v>
      </c>
    </row>
    <row r="258" spans="2:8" x14ac:dyDescent="0.45">
      <c r="B258" s="87">
        <v>44528</v>
      </c>
      <c r="C258" s="167">
        <v>2334.35</v>
      </c>
      <c r="D258" s="59">
        <f t="shared" si="6"/>
        <v>3.6588931310836958E-3</v>
      </c>
      <c r="E258" s="85"/>
      <c r="F258" s="87">
        <v>44528</v>
      </c>
      <c r="G258" s="167">
        <v>17196.7</v>
      </c>
      <c r="H258" s="58">
        <f t="shared" si="7"/>
        <v>9.9991483838381967E-3</v>
      </c>
    </row>
    <row r="259" spans="2:8" x14ac:dyDescent="0.45">
      <c r="B259" s="87">
        <v>44521</v>
      </c>
      <c r="C259" s="167">
        <v>2325.84</v>
      </c>
      <c r="D259" s="59">
        <f t="shared" si="6"/>
        <v>-2.6796324501648594E-2</v>
      </c>
      <c r="E259" s="85"/>
      <c r="F259" s="87">
        <v>44521</v>
      </c>
      <c r="G259" s="167">
        <v>17026.45</v>
      </c>
      <c r="H259" s="58">
        <f t="shared" si="7"/>
        <v>-4.1562528145546174E-2</v>
      </c>
    </row>
    <row r="260" spans="2:8" x14ac:dyDescent="0.45">
      <c r="B260" s="87">
        <v>44514</v>
      </c>
      <c r="C260" s="167">
        <v>2389.88</v>
      </c>
      <c r="D260" s="59">
        <f t="shared" ref="D260:D323" si="8">IFERROR((C260/C261)-1,0)</f>
        <v>-2.3085818294152904E-3</v>
      </c>
      <c r="E260" s="85"/>
      <c r="F260" s="87">
        <v>44514</v>
      </c>
      <c r="G260" s="167">
        <v>17764.8</v>
      </c>
      <c r="H260" s="58">
        <f t="shared" ref="H260:H323" si="9">IFERROR((G260/G261)-1,0)</f>
        <v>-1.8668434353896535E-2</v>
      </c>
    </row>
    <row r="261" spans="2:8" x14ac:dyDescent="0.45">
      <c r="B261" s="87">
        <v>44507</v>
      </c>
      <c r="C261" s="167">
        <v>2395.41</v>
      </c>
      <c r="D261" s="59">
        <f t="shared" si="8"/>
        <v>-7.3884072864696115E-3</v>
      </c>
      <c r="E261" s="85"/>
      <c r="F261" s="87">
        <v>44507</v>
      </c>
      <c r="G261" s="167">
        <v>18102.75</v>
      </c>
      <c r="H261" s="58">
        <f t="shared" si="9"/>
        <v>1.0378527415610073E-2</v>
      </c>
    </row>
    <row r="262" spans="2:8" x14ac:dyDescent="0.45">
      <c r="B262" s="87">
        <v>44500</v>
      </c>
      <c r="C262" s="167">
        <v>2413.2399999999998</v>
      </c>
      <c r="D262" s="59">
        <f t="shared" si="8"/>
        <v>1.2409487930325591E-2</v>
      </c>
      <c r="E262" s="85"/>
      <c r="F262" s="87">
        <v>44500</v>
      </c>
      <c r="G262" s="167">
        <v>17916.8</v>
      </c>
      <c r="H262" s="58">
        <f t="shared" si="9"/>
        <v>1.3872502001793796E-2</v>
      </c>
    </row>
    <row r="263" spans="2:8" x14ac:dyDescent="0.45">
      <c r="B263" s="87">
        <v>44493</v>
      </c>
      <c r="C263" s="167">
        <v>2383.66</v>
      </c>
      <c r="D263" s="59">
        <f t="shared" si="8"/>
        <v>-2.4836665480266862E-2</v>
      </c>
      <c r="E263" s="85"/>
      <c r="F263" s="87">
        <v>44493</v>
      </c>
      <c r="G263" s="167">
        <v>17671.650000000001</v>
      </c>
      <c r="H263" s="58">
        <f t="shared" si="9"/>
        <v>-2.4468807445804264E-2</v>
      </c>
    </row>
    <row r="264" spans="2:8" x14ac:dyDescent="0.45">
      <c r="B264" s="87">
        <v>44486</v>
      </c>
      <c r="C264" s="167">
        <v>2444.37</v>
      </c>
      <c r="D264" s="59">
        <f t="shared" si="8"/>
        <v>-7.3765460167333652E-2</v>
      </c>
      <c r="E264" s="85"/>
      <c r="F264" s="87">
        <v>44486</v>
      </c>
      <c r="G264" s="167">
        <v>18114.900000000001</v>
      </c>
      <c r="H264" s="58">
        <f t="shared" si="9"/>
        <v>-1.2195620700655052E-2</v>
      </c>
    </row>
    <row r="265" spans="2:8" x14ac:dyDescent="0.45">
      <c r="B265" s="87">
        <v>44479</v>
      </c>
      <c r="C265" s="167">
        <v>2639.04</v>
      </c>
      <c r="D265" s="59">
        <f t="shared" si="8"/>
        <v>3.5975326858281864E-3</v>
      </c>
      <c r="E265" s="85"/>
      <c r="F265" s="87">
        <v>44479</v>
      </c>
      <c r="G265" s="167">
        <v>18338.55</v>
      </c>
      <c r="H265" s="58">
        <f t="shared" si="9"/>
        <v>2.4774799946354342E-2</v>
      </c>
    </row>
    <row r="266" spans="2:8" x14ac:dyDescent="0.45">
      <c r="B266" s="87">
        <v>44472</v>
      </c>
      <c r="C266" s="167">
        <v>2629.58</v>
      </c>
      <c r="D266" s="59">
        <f t="shared" si="8"/>
        <v>-2.3669583749484802E-2</v>
      </c>
      <c r="E266" s="85"/>
      <c r="F266" s="87">
        <v>44472</v>
      </c>
      <c r="G266" s="167">
        <v>17895.2</v>
      </c>
      <c r="H266" s="58">
        <f t="shared" si="9"/>
        <v>2.0713493288006868E-2</v>
      </c>
    </row>
    <row r="267" spans="2:8" x14ac:dyDescent="0.45">
      <c r="B267" s="87">
        <v>44465</v>
      </c>
      <c r="C267" s="167">
        <v>2693.33</v>
      </c>
      <c r="D267" s="59">
        <f t="shared" si="8"/>
        <v>-1.5509401409480428E-2</v>
      </c>
      <c r="E267" s="85"/>
      <c r="F267" s="87">
        <v>44465</v>
      </c>
      <c r="G267" s="167">
        <v>17532.05</v>
      </c>
      <c r="H267" s="58">
        <f t="shared" si="9"/>
        <v>-1.7988371832500683E-2</v>
      </c>
    </row>
    <row r="268" spans="2:8" x14ac:dyDescent="0.45">
      <c r="B268" s="87">
        <v>44458</v>
      </c>
      <c r="C268" s="167">
        <v>2735.76</v>
      </c>
      <c r="D268" s="59">
        <f t="shared" si="8"/>
        <v>8.9656825683677166E-3</v>
      </c>
      <c r="E268" s="85"/>
      <c r="F268" s="87">
        <v>44458</v>
      </c>
      <c r="G268" s="167">
        <v>17853.2</v>
      </c>
      <c r="H268" s="58">
        <f t="shared" si="9"/>
        <v>1.5242974896432449E-2</v>
      </c>
    </row>
    <row r="269" spans="2:8" x14ac:dyDescent="0.45">
      <c r="B269" s="87">
        <v>44451</v>
      </c>
      <c r="C269" s="167">
        <v>2711.45</v>
      </c>
      <c r="D269" s="59">
        <f t="shared" si="8"/>
        <v>-3.1452045008037222E-2</v>
      </c>
      <c r="E269" s="85"/>
      <c r="F269" s="87">
        <v>44451</v>
      </c>
      <c r="G269" s="167">
        <v>17585.150000000001</v>
      </c>
      <c r="H269" s="58">
        <f t="shared" si="9"/>
        <v>1.2430012809994784E-2</v>
      </c>
    </row>
    <row r="270" spans="2:8" x14ac:dyDescent="0.45">
      <c r="B270" s="87">
        <v>44444</v>
      </c>
      <c r="C270" s="167">
        <v>2799.5</v>
      </c>
      <c r="D270" s="59">
        <f t="shared" si="8"/>
        <v>1.5883268680168205E-2</v>
      </c>
      <c r="E270" s="85"/>
      <c r="F270" s="87">
        <v>44444</v>
      </c>
      <c r="G270" s="167">
        <v>17369.25</v>
      </c>
      <c r="H270" s="58">
        <f t="shared" si="9"/>
        <v>2.6351335750076643E-3</v>
      </c>
    </row>
    <row r="271" spans="2:8" x14ac:dyDescent="0.45">
      <c r="B271" s="87">
        <v>44437</v>
      </c>
      <c r="C271" s="167">
        <v>2755.73</v>
      </c>
      <c r="D271" s="59">
        <f t="shared" si="8"/>
        <v>3.3141755988197907E-2</v>
      </c>
      <c r="E271" s="85"/>
      <c r="F271" s="87">
        <v>44437</v>
      </c>
      <c r="G271" s="167">
        <v>17323.599999999999</v>
      </c>
      <c r="H271" s="58">
        <f t="shared" si="9"/>
        <v>3.7018413428153929E-2</v>
      </c>
    </row>
    <row r="272" spans="2:8" x14ac:dyDescent="0.45">
      <c r="B272" s="87">
        <v>44430</v>
      </c>
      <c r="C272" s="167">
        <v>2667.33</v>
      </c>
      <c r="D272" s="59">
        <f t="shared" si="8"/>
        <v>2.2353306426575514E-2</v>
      </c>
      <c r="E272" s="85"/>
      <c r="F272" s="87">
        <v>44430</v>
      </c>
      <c r="G272" s="167">
        <v>16705.2</v>
      </c>
      <c r="H272" s="58">
        <f t="shared" si="9"/>
        <v>1.5482812072581398E-2</v>
      </c>
    </row>
    <row r="273" spans="2:8" x14ac:dyDescent="0.45">
      <c r="B273" s="87">
        <v>44423</v>
      </c>
      <c r="C273" s="167">
        <v>2609.0100000000002</v>
      </c>
      <c r="D273" s="59">
        <f t="shared" si="8"/>
        <v>8.9375187894578767E-2</v>
      </c>
      <c r="E273" s="85"/>
      <c r="F273" s="87">
        <v>44423</v>
      </c>
      <c r="G273" s="167">
        <v>16450.5</v>
      </c>
      <c r="H273" s="58">
        <f t="shared" si="9"/>
        <v>-4.7552498321141723E-3</v>
      </c>
    </row>
    <row r="274" spans="2:8" x14ac:dyDescent="0.45">
      <c r="B274" s="87">
        <v>44416</v>
      </c>
      <c r="C274" s="167">
        <v>2394.96</v>
      </c>
      <c r="D274" s="59">
        <f t="shared" si="8"/>
        <v>1.3915642503037562E-2</v>
      </c>
      <c r="E274" s="85"/>
      <c r="F274" s="87">
        <v>44416</v>
      </c>
      <c r="G274" s="167">
        <v>16529.099999999999</v>
      </c>
      <c r="H274" s="58">
        <f t="shared" si="9"/>
        <v>1.7914547178874418E-2</v>
      </c>
    </row>
    <row r="275" spans="2:8" x14ac:dyDescent="0.45">
      <c r="B275" s="87">
        <v>44409</v>
      </c>
      <c r="C275" s="167">
        <v>2362.09</v>
      </c>
      <c r="D275" s="59">
        <f t="shared" si="8"/>
        <v>1.6367978313719611E-2</v>
      </c>
      <c r="E275" s="85"/>
      <c r="F275" s="87">
        <v>44409</v>
      </c>
      <c r="G275" s="167">
        <v>16238.2</v>
      </c>
      <c r="H275" s="58">
        <f t="shared" si="9"/>
        <v>3.0143278109249216E-2</v>
      </c>
    </row>
    <row r="276" spans="2:8" x14ac:dyDescent="0.45">
      <c r="B276" s="87">
        <v>44402</v>
      </c>
      <c r="C276" s="167">
        <v>2324.0500000000002</v>
      </c>
      <c r="D276" s="59">
        <f t="shared" si="8"/>
        <v>-1.0516232038318196E-2</v>
      </c>
      <c r="E276" s="85"/>
      <c r="F276" s="87">
        <v>44402</v>
      </c>
      <c r="G276" s="167">
        <v>15763.05</v>
      </c>
      <c r="H276" s="58">
        <f t="shared" si="9"/>
        <v>-5.8652690928698847E-3</v>
      </c>
    </row>
    <row r="277" spans="2:8" x14ac:dyDescent="0.45">
      <c r="B277" s="87">
        <v>44395</v>
      </c>
      <c r="C277" s="167">
        <v>2348.75</v>
      </c>
      <c r="D277" s="59">
        <f t="shared" si="8"/>
        <v>-2.4528513462441004E-2</v>
      </c>
      <c r="E277" s="85"/>
      <c r="F277" s="87">
        <v>44395</v>
      </c>
      <c r="G277" s="167">
        <v>15856.05</v>
      </c>
      <c r="H277" s="58">
        <f t="shared" si="9"/>
        <v>-4.2296243264630107E-3</v>
      </c>
    </row>
    <row r="278" spans="2:8" x14ac:dyDescent="0.45">
      <c r="B278" s="87">
        <v>44388</v>
      </c>
      <c r="C278" s="167">
        <v>2407.81</v>
      </c>
      <c r="D278" s="59">
        <f t="shared" si="8"/>
        <v>-1.3891789837533253E-2</v>
      </c>
      <c r="E278" s="85"/>
      <c r="F278" s="87">
        <v>44388</v>
      </c>
      <c r="G278" s="167">
        <v>15923.4</v>
      </c>
      <c r="H278" s="58">
        <f t="shared" si="9"/>
        <v>1.4888653775064098E-2</v>
      </c>
    </row>
    <row r="279" spans="2:8" x14ac:dyDescent="0.45">
      <c r="B279" s="87">
        <v>44381</v>
      </c>
      <c r="C279" s="167">
        <v>2441.73</v>
      </c>
      <c r="D279" s="59">
        <f t="shared" si="8"/>
        <v>-1.4414072591061755E-2</v>
      </c>
      <c r="E279" s="85"/>
      <c r="F279" s="87">
        <v>44381</v>
      </c>
      <c r="G279" s="167">
        <v>15689.8</v>
      </c>
      <c r="H279" s="58">
        <f t="shared" si="9"/>
        <v>-2.0607802979227818E-3</v>
      </c>
    </row>
    <row r="280" spans="2:8" x14ac:dyDescent="0.45">
      <c r="B280" s="87">
        <v>44374</v>
      </c>
      <c r="C280" s="167">
        <v>2477.44</v>
      </c>
      <c r="D280" s="59">
        <f t="shared" si="8"/>
        <v>1.5785546179897914E-2</v>
      </c>
      <c r="E280" s="85"/>
      <c r="F280" s="87">
        <v>44374</v>
      </c>
      <c r="G280" s="167">
        <v>15722.2</v>
      </c>
      <c r="H280" s="58">
        <f t="shared" si="9"/>
        <v>-8.7104004640502497E-3</v>
      </c>
    </row>
    <row r="281" spans="2:8" x14ac:dyDescent="0.45">
      <c r="B281" s="87">
        <v>44367</v>
      </c>
      <c r="C281" s="167">
        <v>2438.94</v>
      </c>
      <c r="D281" s="59">
        <f t="shared" si="8"/>
        <v>-1.3792685145872507E-2</v>
      </c>
      <c r="E281" s="85"/>
      <c r="F281" s="87">
        <v>44367</v>
      </c>
      <c r="G281" s="167">
        <v>15860.35</v>
      </c>
      <c r="H281" s="58">
        <f t="shared" si="9"/>
        <v>1.1285854106424908E-2</v>
      </c>
    </row>
    <row r="282" spans="2:8" x14ac:dyDescent="0.45">
      <c r="B282" s="87">
        <v>44360</v>
      </c>
      <c r="C282" s="167">
        <v>2473.0500000000002</v>
      </c>
      <c r="D282" s="59">
        <f t="shared" si="8"/>
        <v>4.9187352308547316E-2</v>
      </c>
      <c r="E282" s="85"/>
      <c r="F282" s="87">
        <v>44360</v>
      </c>
      <c r="G282" s="167">
        <v>15683.35</v>
      </c>
      <c r="H282" s="58">
        <f t="shared" si="9"/>
        <v>-7.3420741992550331E-3</v>
      </c>
    </row>
    <row r="283" spans="2:8" x14ac:dyDescent="0.45">
      <c r="B283" s="87">
        <v>44353</v>
      </c>
      <c r="C283" s="167">
        <v>2357.11</v>
      </c>
      <c r="D283" s="59">
        <f t="shared" si="8"/>
        <v>1.0438279120012384E-2</v>
      </c>
      <c r="E283" s="85"/>
      <c r="F283" s="87">
        <v>44353</v>
      </c>
      <c r="G283" s="167">
        <v>15799.35</v>
      </c>
      <c r="H283" s="58">
        <f t="shared" si="9"/>
        <v>8.238541184728998E-3</v>
      </c>
    </row>
    <row r="284" spans="2:8" x14ac:dyDescent="0.45">
      <c r="B284" s="87">
        <v>44346</v>
      </c>
      <c r="C284" s="167">
        <v>2332.7600000000002</v>
      </c>
      <c r="D284" s="59">
        <f t="shared" si="8"/>
        <v>8.7654433100252671E-3</v>
      </c>
      <c r="E284" s="85"/>
      <c r="F284" s="87">
        <v>44346</v>
      </c>
      <c r="G284" s="167">
        <v>15670.25</v>
      </c>
      <c r="H284" s="58">
        <f t="shared" si="9"/>
        <v>1.5198582502194524E-2</v>
      </c>
    </row>
    <row r="285" spans="2:8" x14ac:dyDescent="0.45">
      <c r="B285" s="87">
        <v>44339</v>
      </c>
      <c r="C285" s="167">
        <v>2312.4899999999998</v>
      </c>
      <c r="D285" s="59">
        <f t="shared" si="8"/>
        <v>-1.7166196321104499E-2</v>
      </c>
      <c r="E285" s="85"/>
      <c r="F285" s="87">
        <v>44339</v>
      </c>
      <c r="G285" s="167">
        <v>15435.65</v>
      </c>
      <c r="H285" s="58">
        <f t="shared" si="9"/>
        <v>1.7156168247085768E-2</v>
      </c>
    </row>
    <row r="286" spans="2:8" x14ac:dyDescent="0.45">
      <c r="B286" s="87">
        <v>44332</v>
      </c>
      <c r="C286" s="167">
        <v>2352.88</v>
      </c>
      <c r="D286" s="59">
        <f t="shared" si="8"/>
        <v>-6.1417070059389678E-3</v>
      </c>
      <c r="E286" s="85"/>
      <c r="F286" s="87">
        <v>44332</v>
      </c>
      <c r="G286" s="167">
        <v>15175.3</v>
      </c>
      <c r="H286" s="58">
        <f t="shared" si="9"/>
        <v>3.3894725367561884E-2</v>
      </c>
    </row>
    <row r="287" spans="2:8" x14ac:dyDescent="0.45">
      <c r="B287" s="87">
        <v>44325</v>
      </c>
      <c r="C287" s="167">
        <v>2367.42</v>
      </c>
      <c r="D287" s="59">
        <f t="shared" si="8"/>
        <v>-1.4248596792191925E-2</v>
      </c>
      <c r="E287" s="85"/>
      <c r="F287" s="87">
        <v>44325</v>
      </c>
      <c r="G287" s="167">
        <v>14677.8</v>
      </c>
      <c r="H287" s="58">
        <f t="shared" si="9"/>
        <v>-9.8056081197316347E-3</v>
      </c>
    </row>
    <row r="288" spans="2:8" x14ac:dyDescent="0.45">
      <c r="B288" s="87">
        <v>44318</v>
      </c>
      <c r="C288" s="167">
        <v>2401.64</v>
      </c>
      <c r="D288" s="59">
        <f t="shared" si="8"/>
        <v>2.4406889550507183E-2</v>
      </c>
      <c r="E288" s="85"/>
      <c r="F288" s="87">
        <v>44318</v>
      </c>
      <c r="G288" s="167">
        <v>14823.15</v>
      </c>
      <c r="H288" s="58">
        <f t="shared" si="9"/>
        <v>1.3126149093369621E-2</v>
      </c>
    </row>
    <row r="289" spans="2:8" x14ac:dyDescent="0.45">
      <c r="B289" s="87">
        <v>44311</v>
      </c>
      <c r="C289" s="167">
        <v>2344.42</v>
      </c>
      <c r="D289" s="59">
        <f t="shared" si="8"/>
        <v>1.9933872792134322E-2</v>
      </c>
      <c r="E289" s="85"/>
      <c r="F289" s="87">
        <v>44311</v>
      </c>
      <c r="G289" s="167">
        <v>14631.1</v>
      </c>
      <c r="H289" s="58">
        <f t="shared" si="9"/>
        <v>2.020381623766232E-2</v>
      </c>
    </row>
    <row r="290" spans="2:8" x14ac:dyDescent="0.45">
      <c r="B290" s="87">
        <v>44304</v>
      </c>
      <c r="C290" s="167">
        <v>2298.6</v>
      </c>
      <c r="D290" s="59">
        <f t="shared" si="8"/>
        <v>-6.1470306024539179E-2</v>
      </c>
      <c r="E290" s="85"/>
      <c r="F290" s="87">
        <v>44304</v>
      </c>
      <c r="G290" s="167">
        <v>14341.35</v>
      </c>
      <c r="H290" s="58">
        <f t="shared" si="9"/>
        <v>-1.8915230351932766E-2</v>
      </c>
    </row>
    <row r="291" spans="2:8" x14ac:dyDescent="0.45">
      <c r="B291" s="87">
        <v>44297</v>
      </c>
      <c r="C291" s="167">
        <v>2449.15</v>
      </c>
      <c r="D291" s="59">
        <f t="shared" si="8"/>
        <v>-6.9054164740609547E-3</v>
      </c>
      <c r="E291" s="85"/>
      <c r="F291" s="87">
        <v>44297</v>
      </c>
      <c r="G291" s="167">
        <v>14617.85</v>
      </c>
      <c r="H291" s="58">
        <f t="shared" si="9"/>
        <v>-1.4627717840085985E-2</v>
      </c>
    </row>
    <row r="292" spans="2:8" x14ac:dyDescent="0.45">
      <c r="B292" s="87">
        <v>44290</v>
      </c>
      <c r="C292" s="167">
        <v>2466.1799999999998</v>
      </c>
      <c r="D292" s="59">
        <f t="shared" si="8"/>
        <v>3.2055842449300709E-2</v>
      </c>
      <c r="E292" s="85"/>
      <c r="F292" s="87">
        <v>44290</v>
      </c>
      <c r="G292" s="167">
        <v>14834.85</v>
      </c>
      <c r="H292" s="58">
        <f t="shared" si="9"/>
        <v>-2.185998177213877E-3</v>
      </c>
    </row>
    <row r="293" spans="2:8" x14ac:dyDescent="0.45">
      <c r="B293" s="87">
        <v>44283</v>
      </c>
      <c r="C293" s="167">
        <v>2389.58</v>
      </c>
      <c r="D293" s="59">
        <f t="shared" si="8"/>
        <v>3.5028219221989731E-2</v>
      </c>
      <c r="E293" s="85"/>
      <c r="F293" s="87">
        <v>44283</v>
      </c>
      <c r="G293" s="167">
        <v>14867.35</v>
      </c>
      <c r="H293" s="58">
        <f t="shared" si="9"/>
        <v>2.4818539631771719E-2</v>
      </c>
    </row>
    <row r="294" spans="2:8" x14ac:dyDescent="0.45">
      <c r="B294" s="87">
        <v>44276</v>
      </c>
      <c r="C294" s="167">
        <v>2308.71</v>
      </c>
      <c r="D294" s="59">
        <f t="shared" si="8"/>
        <v>2.5316125894532249E-3</v>
      </c>
      <c r="E294" s="85"/>
      <c r="F294" s="87">
        <v>44276</v>
      </c>
      <c r="G294" s="167">
        <v>14507.3</v>
      </c>
      <c r="H294" s="58">
        <f t="shared" si="9"/>
        <v>-1.6053988062940894E-2</v>
      </c>
    </row>
    <row r="295" spans="2:8" x14ac:dyDescent="0.45">
      <c r="B295" s="87">
        <v>44269</v>
      </c>
      <c r="C295" s="167">
        <v>2302.88</v>
      </c>
      <c r="D295" s="59">
        <f t="shared" si="8"/>
        <v>4.8665534309952907E-2</v>
      </c>
      <c r="E295" s="85"/>
      <c r="F295" s="87">
        <v>44269</v>
      </c>
      <c r="G295" s="167">
        <v>14744</v>
      </c>
      <c r="H295" s="58">
        <f t="shared" si="9"/>
        <v>-1.9090609708634521E-2</v>
      </c>
    </row>
    <row r="296" spans="2:8" x14ac:dyDescent="0.45">
      <c r="B296" s="87">
        <v>44262</v>
      </c>
      <c r="C296" s="167">
        <v>2196.0100000000002</v>
      </c>
      <c r="D296" s="59">
        <f t="shared" si="8"/>
        <v>1.6603036896145618E-3</v>
      </c>
      <c r="E296" s="85"/>
      <c r="F296" s="87">
        <v>44262</v>
      </c>
      <c r="G296" s="167">
        <v>15030.95</v>
      </c>
      <c r="H296" s="58">
        <f t="shared" si="9"/>
        <v>6.2156499153172007E-3</v>
      </c>
    </row>
    <row r="297" spans="2:8" x14ac:dyDescent="0.45">
      <c r="B297" s="87">
        <v>44255</v>
      </c>
      <c r="C297" s="167">
        <v>2192.37</v>
      </c>
      <c r="D297" s="59">
        <f t="shared" si="8"/>
        <v>3.2388549578779235E-2</v>
      </c>
      <c r="E297" s="85"/>
      <c r="F297" s="87">
        <v>44255</v>
      </c>
      <c r="G297" s="167">
        <v>14938.1</v>
      </c>
      <c r="H297" s="58">
        <f t="shared" si="9"/>
        <v>2.8146863374663988E-2</v>
      </c>
    </row>
    <row r="298" spans="2:8" x14ac:dyDescent="0.45">
      <c r="B298" s="87">
        <v>44248</v>
      </c>
      <c r="C298" s="167">
        <v>2123.59</v>
      </c>
      <c r="D298" s="59">
        <f t="shared" si="8"/>
        <v>-2.2490736265506572E-2</v>
      </c>
      <c r="E298" s="85"/>
      <c r="F298" s="87">
        <v>44248</v>
      </c>
      <c r="G298" s="167">
        <v>14529.15</v>
      </c>
      <c r="H298" s="58">
        <f t="shared" si="9"/>
        <v>-3.0210088941545532E-2</v>
      </c>
    </row>
    <row r="299" spans="2:8" x14ac:dyDescent="0.45">
      <c r="B299" s="87">
        <v>44241</v>
      </c>
      <c r="C299" s="167">
        <v>2172.4499999999998</v>
      </c>
      <c r="D299" s="59">
        <f t="shared" si="8"/>
        <v>-2.6967832092660737E-2</v>
      </c>
      <c r="E299" s="85"/>
      <c r="F299" s="87">
        <v>44241</v>
      </c>
      <c r="G299" s="167">
        <v>14981.75</v>
      </c>
      <c r="H299" s="58">
        <f t="shared" si="9"/>
        <v>-1.19729874103921E-2</v>
      </c>
    </row>
    <row r="300" spans="2:8" x14ac:dyDescent="0.45">
      <c r="B300" s="87">
        <v>44234</v>
      </c>
      <c r="C300" s="167">
        <v>2232.66</v>
      </c>
      <c r="D300" s="59">
        <f t="shared" si="8"/>
        <v>-1.233770542567092E-2</v>
      </c>
      <c r="E300" s="85"/>
      <c r="F300" s="87">
        <v>44234</v>
      </c>
      <c r="G300" s="167">
        <v>15163.3</v>
      </c>
      <c r="H300" s="58">
        <f t="shared" si="9"/>
        <v>1.6017555321037769E-2</v>
      </c>
    </row>
    <row r="301" spans="2:8" x14ac:dyDescent="0.45">
      <c r="B301" s="87">
        <v>44227</v>
      </c>
      <c r="C301" s="167">
        <v>2260.5500000000002</v>
      </c>
      <c r="D301" s="59">
        <f t="shared" si="8"/>
        <v>2.4967626345946403E-3</v>
      </c>
      <c r="E301" s="85"/>
      <c r="F301" s="87">
        <v>44227</v>
      </c>
      <c r="G301" s="167">
        <v>14924.25</v>
      </c>
      <c r="H301" s="58">
        <f t="shared" si="9"/>
        <v>9.458656652927111E-2</v>
      </c>
    </row>
    <row r="302" spans="2:8" x14ac:dyDescent="0.45">
      <c r="B302" s="87">
        <v>44220</v>
      </c>
      <c r="C302" s="167">
        <v>2254.92</v>
      </c>
      <c r="D302" s="59">
        <f t="shared" si="8"/>
        <v>-6.0367782180940743E-2</v>
      </c>
      <c r="E302" s="85"/>
      <c r="F302" s="87">
        <v>44220</v>
      </c>
      <c r="G302" s="167">
        <v>13634.6</v>
      </c>
      <c r="H302" s="58">
        <f t="shared" si="9"/>
        <v>-5.1301498062190753E-2</v>
      </c>
    </row>
    <row r="303" spans="2:8" x14ac:dyDescent="0.45">
      <c r="B303" s="87">
        <v>44213</v>
      </c>
      <c r="C303" s="167">
        <v>2399.79</v>
      </c>
      <c r="D303" s="59">
        <f t="shared" si="8"/>
        <v>2.4754250967196301E-2</v>
      </c>
      <c r="E303" s="85"/>
      <c r="F303" s="87">
        <v>44213</v>
      </c>
      <c r="G303" s="167">
        <v>14371.9</v>
      </c>
      <c r="H303" s="58">
        <f t="shared" si="9"/>
        <v>-4.281646424686758E-3</v>
      </c>
    </row>
    <row r="304" spans="2:8" x14ac:dyDescent="0.45">
      <c r="B304" s="87">
        <v>44206</v>
      </c>
      <c r="C304" s="167">
        <v>2341.8200000000002</v>
      </c>
      <c r="D304" s="59">
        <f t="shared" si="8"/>
        <v>-1.6752598962094467E-2</v>
      </c>
      <c r="E304" s="85"/>
      <c r="F304" s="87">
        <v>44206</v>
      </c>
      <c r="G304" s="167">
        <v>14433.7</v>
      </c>
      <c r="H304" s="58">
        <f t="shared" si="9"/>
        <v>6.0255449650630233E-3</v>
      </c>
    </row>
    <row r="305" spans="2:8" x14ac:dyDescent="0.45">
      <c r="B305" s="87">
        <v>44199</v>
      </c>
      <c r="C305" s="167">
        <v>2381.7199999999998</v>
      </c>
      <c r="D305" s="59">
        <f t="shared" si="8"/>
        <v>1.5306465720243967E-3</v>
      </c>
      <c r="E305" s="85"/>
      <c r="F305" s="87">
        <v>44199</v>
      </c>
      <c r="G305" s="167">
        <v>14347.25</v>
      </c>
      <c r="H305" s="58">
        <f t="shared" si="9"/>
        <v>2.3451153832435789E-2</v>
      </c>
    </row>
    <row r="306" spans="2:8" x14ac:dyDescent="0.45">
      <c r="B306" s="87">
        <v>44192</v>
      </c>
      <c r="C306" s="167">
        <v>2378.08</v>
      </c>
      <c r="D306" s="59">
        <f t="shared" si="8"/>
        <v>-6.1185596308802603E-3</v>
      </c>
      <c r="E306" s="85"/>
      <c r="F306" s="87">
        <v>44192</v>
      </c>
      <c r="G306" s="167">
        <v>14018.5</v>
      </c>
      <c r="H306" s="58">
        <f t="shared" si="9"/>
        <v>1.9582886339254868E-2</v>
      </c>
    </row>
    <row r="307" spans="2:8" x14ac:dyDescent="0.45">
      <c r="B307" s="87">
        <v>44185</v>
      </c>
      <c r="C307" s="167">
        <v>2392.7199999999998</v>
      </c>
      <c r="D307" s="59">
        <f t="shared" si="8"/>
        <v>2.9481111780397473E-2</v>
      </c>
      <c r="E307" s="85"/>
      <c r="F307" s="87">
        <v>44185</v>
      </c>
      <c r="G307" s="167">
        <v>13749.25</v>
      </c>
      <c r="H307" s="58">
        <f t="shared" si="9"/>
        <v>-8.2118810657993979E-4</v>
      </c>
    </row>
    <row r="308" spans="2:8" x14ac:dyDescent="0.45">
      <c r="B308" s="87">
        <v>44178</v>
      </c>
      <c r="C308" s="167">
        <v>2324.1999999999998</v>
      </c>
      <c r="D308" s="59">
        <f t="shared" si="8"/>
        <v>-1.7388694177979391E-2</v>
      </c>
      <c r="E308" s="85"/>
      <c r="F308" s="87">
        <v>44178</v>
      </c>
      <c r="G308" s="167">
        <v>13760.55</v>
      </c>
      <c r="H308" s="58">
        <f t="shared" si="9"/>
        <v>1.825534544189833E-2</v>
      </c>
    </row>
    <row r="309" spans="2:8" x14ac:dyDescent="0.45">
      <c r="B309" s="87">
        <v>44171</v>
      </c>
      <c r="C309" s="167">
        <v>2365.33</v>
      </c>
      <c r="D309" s="59">
        <f t="shared" si="8"/>
        <v>8.7238110997729379E-2</v>
      </c>
      <c r="E309" s="85"/>
      <c r="F309" s="87">
        <v>44171</v>
      </c>
      <c r="G309" s="167">
        <v>13513.85</v>
      </c>
      <c r="H309" s="58">
        <f t="shared" si="9"/>
        <v>1.9255499281595645E-2</v>
      </c>
    </row>
    <row r="310" spans="2:8" x14ac:dyDescent="0.45">
      <c r="B310" s="87">
        <v>44164</v>
      </c>
      <c r="C310" s="167">
        <v>2175.54</v>
      </c>
      <c r="D310" s="59">
        <f t="shared" si="8"/>
        <v>2.1514565294968424E-2</v>
      </c>
      <c r="E310" s="85"/>
      <c r="F310" s="87">
        <v>44164</v>
      </c>
      <c r="G310" s="167">
        <v>13258.55</v>
      </c>
      <c r="H310" s="58">
        <f t="shared" si="9"/>
        <v>2.2330258039394035E-2</v>
      </c>
    </row>
    <row r="311" spans="2:8" x14ac:dyDescent="0.45">
      <c r="B311" s="87">
        <v>44157</v>
      </c>
      <c r="C311" s="167">
        <v>2129.7199999999998</v>
      </c>
      <c r="D311" s="59">
        <f t="shared" si="8"/>
        <v>8.4665504962495586E-3</v>
      </c>
      <c r="E311" s="85"/>
      <c r="F311" s="87">
        <v>44157</v>
      </c>
      <c r="G311" s="167">
        <v>12968.95</v>
      </c>
      <c r="H311" s="58">
        <f t="shared" si="9"/>
        <v>8.5465100454544807E-3</v>
      </c>
    </row>
    <row r="312" spans="2:8" x14ac:dyDescent="0.45">
      <c r="B312" s="87">
        <v>44150</v>
      </c>
      <c r="C312" s="167">
        <v>2111.84</v>
      </c>
      <c r="D312" s="59">
        <f t="shared" si="8"/>
        <v>-2.9788485216016958E-2</v>
      </c>
      <c r="E312" s="85"/>
      <c r="F312" s="87">
        <v>44150</v>
      </c>
      <c r="G312" s="167">
        <v>12859.05</v>
      </c>
      <c r="H312" s="58">
        <f t="shared" si="9"/>
        <v>1.0935577576955735E-2</v>
      </c>
    </row>
    <row r="313" spans="2:8" x14ac:dyDescent="0.45">
      <c r="B313" s="87">
        <v>44143</v>
      </c>
      <c r="C313" s="167">
        <v>2176.6799999999998</v>
      </c>
      <c r="D313" s="59">
        <f t="shared" si="8"/>
        <v>4.355079967782749E-2</v>
      </c>
      <c r="E313" s="85"/>
      <c r="F313" s="87">
        <v>44143</v>
      </c>
      <c r="G313" s="167">
        <v>12719.95</v>
      </c>
      <c r="H313" s="58">
        <f t="shared" si="9"/>
        <v>3.721597742904792E-2</v>
      </c>
    </row>
    <row r="314" spans="2:8" x14ac:dyDescent="0.45">
      <c r="B314" s="87">
        <v>44136</v>
      </c>
      <c r="C314" s="167">
        <v>2085.84</v>
      </c>
      <c r="D314" s="59">
        <f t="shared" si="8"/>
        <v>1.1032049169203528E-2</v>
      </c>
      <c r="E314" s="85"/>
      <c r="F314" s="87">
        <v>44136</v>
      </c>
      <c r="G314" s="167">
        <v>12263.55</v>
      </c>
      <c r="H314" s="58">
        <f t="shared" si="9"/>
        <v>5.3352401566687302E-2</v>
      </c>
    </row>
    <row r="315" spans="2:8" x14ac:dyDescent="0.45">
      <c r="B315" s="87">
        <v>44129</v>
      </c>
      <c r="C315" s="167">
        <v>2063.08</v>
      </c>
      <c r="D315" s="59">
        <f t="shared" si="8"/>
        <v>-3.3844568806050468E-2</v>
      </c>
      <c r="E315" s="85"/>
      <c r="F315" s="87">
        <v>44129</v>
      </c>
      <c r="G315" s="167">
        <v>11642.4</v>
      </c>
      <c r="H315" s="58">
        <f t="shared" si="9"/>
        <v>-2.4135922248718633E-2</v>
      </c>
    </row>
    <row r="316" spans="2:8" x14ac:dyDescent="0.45">
      <c r="B316" s="87">
        <v>44122</v>
      </c>
      <c r="C316" s="167">
        <v>2135.35</v>
      </c>
      <c r="D316" s="59">
        <f t="shared" si="8"/>
        <v>-3.1138831570199921E-3</v>
      </c>
      <c r="E316" s="85"/>
      <c r="F316" s="87">
        <v>44122</v>
      </c>
      <c r="G316" s="167">
        <v>11930.35</v>
      </c>
      <c r="H316" s="58">
        <f t="shared" si="9"/>
        <v>1.4274237084961117E-2</v>
      </c>
    </row>
    <row r="317" spans="2:8" x14ac:dyDescent="0.45">
      <c r="B317" s="87">
        <v>44115</v>
      </c>
      <c r="C317" s="167">
        <v>2142.02</v>
      </c>
      <c r="D317" s="59">
        <f t="shared" si="8"/>
        <v>5.0958163629197806E-3</v>
      </c>
      <c r="E317" s="85"/>
      <c r="F317" s="87">
        <v>44115</v>
      </c>
      <c r="G317" s="167">
        <v>11762.45</v>
      </c>
      <c r="H317" s="58">
        <f t="shared" si="9"/>
        <v>-1.2736902183948517E-2</v>
      </c>
    </row>
    <row r="318" spans="2:8" x14ac:dyDescent="0.45">
      <c r="B318" s="87">
        <v>44108</v>
      </c>
      <c r="C318" s="167">
        <v>2131.16</v>
      </c>
      <c r="D318" s="59">
        <f t="shared" si="8"/>
        <v>2.1311263292582927E-2</v>
      </c>
      <c r="E318" s="85"/>
      <c r="F318" s="87">
        <v>44108</v>
      </c>
      <c r="G318" s="167">
        <v>11914.2</v>
      </c>
      <c r="H318" s="58">
        <f t="shared" si="9"/>
        <v>4.3553663631705541E-2</v>
      </c>
    </row>
    <row r="319" spans="2:8" x14ac:dyDescent="0.45">
      <c r="B319" s="87">
        <v>44101</v>
      </c>
      <c r="C319" s="167">
        <v>2086.69</v>
      </c>
      <c r="D319" s="59">
        <f t="shared" si="8"/>
        <v>7.6733629515162161E-3</v>
      </c>
      <c r="E319" s="85"/>
      <c r="F319" s="87">
        <v>44101</v>
      </c>
      <c r="G319" s="167">
        <v>11416.95</v>
      </c>
      <c r="H319" s="58">
        <f t="shared" si="9"/>
        <v>3.3184769575349105E-2</v>
      </c>
    </row>
    <row r="320" spans="2:8" x14ac:dyDescent="0.45">
      <c r="B320" s="87">
        <v>44094</v>
      </c>
      <c r="C320" s="167">
        <v>2070.8000000000002</v>
      </c>
      <c r="D320" s="59">
        <f t="shared" si="8"/>
        <v>-9.3667180129928251E-3</v>
      </c>
      <c r="E320" s="85"/>
      <c r="F320" s="87">
        <v>44094</v>
      </c>
      <c r="G320" s="167">
        <v>11050.25</v>
      </c>
      <c r="H320" s="58">
        <f t="shared" si="9"/>
        <v>-3.9522118740194512E-2</v>
      </c>
    </row>
    <row r="321" spans="2:8" x14ac:dyDescent="0.45">
      <c r="B321" s="87">
        <v>44087</v>
      </c>
      <c r="C321" s="167">
        <v>2090.38</v>
      </c>
      <c r="D321" s="59">
        <f t="shared" si="8"/>
        <v>-2.8042163212736337E-2</v>
      </c>
      <c r="E321" s="85"/>
      <c r="F321" s="87">
        <v>44087</v>
      </c>
      <c r="G321" s="167">
        <v>11504.95</v>
      </c>
      <c r="H321" s="58">
        <f t="shared" si="9"/>
        <v>3.5326596565905533E-3</v>
      </c>
    </row>
    <row r="322" spans="2:8" x14ac:dyDescent="0.45">
      <c r="B322" s="87">
        <v>44080</v>
      </c>
      <c r="C322" s="167">
        <v>2150.69</v>
      </c>
      <c r="D322" s="59">
        <f t="shared" si="8"/>
        <v>1.6288476623413484E-2</v>
      </c>
      <c r="E322" s="85"/>
      <c r="F322" s="87">
        <v>44080</v>
      </c>
      <c r="G322" s="167">
        <v>11464.45</v>
      </c>
      <c r="H322" s="58">
        <f t="shared" si="9"/>
        <v>1.1523004098342504E-2</v>
      </c>
    </row>
    <row r="323" spans="2:8" x14ac:dyDescent="0.45">
      <c r="B323" s="87">
        <v>44073</v>
      </c>
      <c r="C323" s="167">
        <v>2116.2199999999998</v>
      </c>
      <c r="D323" s="59">
        <f t="shared" si="8"/>
        <v>-1.2690000093309006E-2</v>
      </c>
      <c r="E323" s="85"/>
      <c r="F323" s="87">
        <v>44073</v>
      </c>
      <c r="G323" s="167">
        <v>11333.85</v>
      </c>
      <c r="H323" s="58">
        <f t="shared" si="9"/>
        <v>-2.6936879700539151E-2</v>
      </c>
    </row>
    <row r="324" spans="2:8" x14ac:dyDescent="0.45">
      <c r="B324" s="87">
        <v>44066</v>
      </c>
      <c r="C324" s="167">
        <v>2143.42</v>
      </c>
      <c r="D324" s="59">
        <f t="shared" ref="D324:D387" si="10">IFERROR((C324/C325)-1,0)</f>
        <v>-2.2750898181751911E-2</v>
      </c>
      <c r="E324" s="85"/>
      <c r="F324" s="87">
        <v>44066</v>
      </c>
      <c r="G324" s="167">
        <v>11647.6</v>
      </c>
      <c r="H324" s="58">
        <f t="shared" ref="H324:H387" si="11">IFERROR((G324/G325)-1,0)</f>
        <v>2.427099088958462E-2</v>
      </c>
    </row>
    <row r="325" spans="2:8" x14ac:dyDescent="0.45">
      <c r="B325" s="87">
        <v>44059</v>
      </c>
      <c r="C325" s="167">
        <v>2193.3200000000002</v>
      </c>
      <c r="D325" s="59">
        <f t="shared" si="10"/>
        <v>1.2949826350402649E-2</v>
      </c>
      <c r="E325" s="85"/>
      <c r="F325" s="87">
        <v>44059</v>
      </c>
      <c r="G325" s="167">
        <v>11371.6</v>
      </c>
      <c r="H325" s="58">
        <f t="shared" si="11"/>
        <v>1.7283332140556773E-2</v>
      </c>
    </row>
    <row r="326" spans="2:8" x14ac:dyDescent="0.45">
      <c r="B326" s="87">
        <v>44052</v>
      </c>
      <c r="C326" s="167">
        <v>2165.2800000000002</v>
      </c>
      <c r="D326" s="59">
        <f t="shared" si="10"/>
        <v>-1.6577496389285074E-2</v>
      </c>
      <c r="E326" s="85"/>
      <c r="F326" s="87">
        <v>44052</v>
      </c>
      <c r="G326" s="167">
        <v>11178.4</v>
      </c>
      <c r="H326" s="58">
        <f t="shared" si="11"/>
        <v>-3.1790477124677974E-3</v>
      </c>
    </row>
    <row r="327" spans="2:8" x14ac:dyDescent="0.45">
      <c r="B327" s="87">
        <v>44045</v>
      </c>
      <c r="C327" s="167">
        <v>2201.7800000000002</v>
      </c>
      <c r="D327" s="59">
        <f t="shared" si="10"/>
        <v>2.9075842517989336E-4</v>
      </c>
      <c r="E327" s="85"/>
      <c r="F327" s="87">
        <v>44045</v>
      </c>
      <c r="G327" s="167">
        <v>11214.05</v>
      </c>
      <c r="H327" s="58">
        <f t="shared" si="11"/>
        <v>1.269703660557453E-2</v>
      </c>
    </row>
    <row r="328" spans="2:8" x14ac:dyDescent="0.45">
      <c r="B328" s="87">
        <v>44038</v>
      </c>
      <c r="C328" s="167">
        <v>2201.14</v>
      </c>
      <c r="D328" s="59">
        <f t="shared" si="10"/>
        <v>4.5500805505733766E-3</v>
      </c>
      <c r="E328" s="85"/>
      <c r="F328" s="87">
        <v>44038</v>
      </c>
      <c r="G328" s="167">
        <v>11073.45</v>
      </c>
      <c r="H328" s="58">
        <f t="shared" si="11"/>
        <v>-1.0782417602051009E-2</v>
      </c>
    </row>
    <row r="329" spans="2:8" x14ac:dyDescent="0.45">
      <c r="B329" s="87">
        <v>44031</v>
      </c>
      <c r="C329" s="167">
        <v>2191.17</v>
      </c>
      <c r="D329" s="59">
        <f t="shared" si="10"/>
        <v>-5.3649709120277667E-2</v>
      </c>
      <c r="E329" s="85"/>
      <c r="F329" s="87">
        <v>44031</v>
      </c>
      <c r="G329" s="167">
        <v>11194.15</v>
      </c>
      <c r="H329" s="58">
        <f t="shared" si="11"/>
        <v>2.682609134355185E-2</v>
      </c>
    </row>
    <row r="330" spans="2:8" x14ac:dyDescent="0.45">
      <c r="B330" s="87">
        <v>44024</v>
      </c>
      <c r="C330" s="167">
        <v>2315.39</v>
      </c>
      <c r="D330" s="59">
        <f t="shared" si="10"/>
        <v>4.9801636779941427E-2</v>
      </c>
      <c r="E330" s="85"/>
      <c r="F330" s="87">
        <v>44024</v>
      </c>
      <c r="G330" s="167">
        <v>10901.7</v>
      </c>
      <c r="H330" s="58">
        <f t="shared" si="11"/>
        <v>1.2411717999080807E-2</v>
      </c>
    </row>
    <row r="331" spans="2:8" x14ac:dyDescent="0.45">
      <c r="B331" s="87">
        <v>44017</v>
      </c>
      <c r="C331" s="167">
        <v>2205.5500000000002</v>
      </c>
      <c r="D331" s="59">
        <f t="shared" si="10"/>
        <v>2.3048806508771502E-2</v>
      </c>
      <c r="E331" s="85"/>
      <c r="F331" s="87">
        <v>44017</v>
      </c>
      <c r="G331" s="167">
        <v>10768.05</v>
      </c>
      <c r="H331" s="58">
        <f t="shared" si="11"/>
        <v>1.5149872494072403E-2</v>
      </c>
    </row>
    <row r="332" spans="2:8" x14ac:dyDescent="0.45">
      <c r="B332" s="87">
        <v>44010</v>
      </c>
      <c r="C332" s="167">
        <v>2155.86</v>
      </c>
      <c r="D332" s="59">
        <f t="shared" si="10"/>
        <v>9.0521034205157669E-3</v>
      </c>
      <c r="E332" s="85"/>
      <c r="F332" s="87">
        <v>44010</v>
      </c>
      <c r="G332" s="167">
        <v>10607.35</v>
      </c>
      <c r="H332" s="58">
        <f t="shared" si="11"/>
        <v>2.1607435230665439E-2</v>
      </c>
    </row>
    <row r="333" spans="2:8" x14ac:dyDescent="0.45">
      <c r="B333" s="87">
        <v>44003</v>
      </c>
      <c r="C333" s="167">
        <v>2136.52</v>
      </c>
      <c r="D333" s="59">
        <f t="shared" si="10"/>
        <v>2.9365427328396532E-2</v>
      </c>
      <c r="E333" s="85"/>
      <c r="F333" s="87">
        <v>44003</v>
      </c>
      <c r="G333" s="167">
        <v>10383</v>
      </c>
      <c r="H333" s="58">
        <f t="shared" si="11"/>
        <v>1.3529342860489679E-2</v>
      </c>
    </row>
    <row r="334" spans="2:8" x14ac:dyDescent="0.45">
      <c r="B334" s="87">
        <v>43996</v>
      </c>
      <c r="C334" s="167">
        <v>2075.5700000000002</v>
      </c>
      <c r="D334" s="59">
        <f t="shared" si="10"/>
        <v>-6.8852992401767787E-3</v>
      </c>
      <c r="E334" s="85"/>
      <c r="F334" s="87">
        <v>43996</v>
      </c>
      <c r="G334" s="167">
        <v>10244.4</v>
      </c>
      <c r="H334" s="58">
        <f t="shared" si="11"/>
        <v>2.7223776434136537E-2</v>
      </c>
    </row>
    <row r="335" spans="2:8" x14ac:dyDescent="0.45">
      <c r="B335" s="87">
        <v>43989</v>
      </c>
      <c r="C335" s="167">
        <v>2089.96</v>
      </c>
      <c r="D335" s="59">
        <f t="shared" si="10"/>
        <v>9.4133216129672626E-3</v>
      </c>
      <c r="E335" s="85"/>
      <c r="F335" s="87">
        <v>43989</v>
      </c>
      <c r="G335" s="167">
        <v>9972.9</v>
      </c>
      <c r="H335" s="58">
        <f t="shared" si="11"/>
        <v>-1.6687783162347203E-2</v>
      </c>
    </row>
    <row r="336" spans="2:8" x14ac:dyDescent="0.45">
      <c r="B336" s="87">
        <v>43982</v>
      </c>
      <c r="C336" s="167">
        <v>2070.4699999999998</v>
      </c>
      <c r="D336" s="59">
        <f t="shared" si="10"/>
        <v>1.4707467923899431E-2</v>
      </c>
      <c r="E336" s="85"/>
      <c r="F336" s="87">
        <v>43982</v>
      </c>
      <c r="G336" s="167">
        <v>10142.15</v>
      </c>
      <c r="H336" s="58">
        <f t="shared" si="11"/>
        <v>5.8646388943978778E-2</v>
      </c>
    </row>
    <row r="337" spans="2:8" x14ac:dyDescent="0.45">
      <c r="B337" s="87">
        <v>43975</v>
      </c>
      <c r="C337" s="167">
        <v>2040.46</v>
      </c>
      <c r="D337" s="59">
        <f t="shared" si="10"/>
        <v>3.4936446910599717E-2</v>
      </c>
      <c r="E337" s="85"/>
      <c r="F337" s="87">
        <v>43975</v>
      </c>
      <c r="G337" s="167">
        <v>9580.2999999999993</v>
      </c>
      <c r="H337" s="58">
        <f t="shared" si="11"/>
        <v>5.9855629615288786E-2</v>
      </c>
    </row>
    <row r="338" spans="2:8" x14ac:dyDescent="0.45">
      <c r="B338" s="87">
        <v>43968</v>
      </c>
      <c r="C338" s="167">
        <v>1971.58</v>
      </c>
      <c r="D338" s="59">
        <f t="shared" si="10"/>
        <v>-2.1752289845292871E-2</v>
      </c>
      <c r="E338" s="85"/>
      <c r="F338" s="87">
        <v>43968</v>
      </c>
      <c r="G338" s="167">
        <v>9039.25</v>
      </c>
      <c r="H338" s="58">
        <f t="shared" si="11"/>
        <v>-1.0682018419915007E-2</v>
      </c>
    </row>
    <row r="339" spans="2:8" x14ac:dyDescent="0.45">
      <c r="B339" s="87">
        <v>43961</v>
      </c>
      <c r="C339" s="167">
        <v>2015.42</v>
      </c>
      <c r="D339" s="59">
        <f t="shared" si="10"/>
        <v>-2.7447763354726651E-2</v>
      </c>
      <c r="E339" s="85"/>
      <c r="F339" s="87">
        <v>43961</v>
      </c>
      <c r="G339" s="167">
        <v>9136.85</v>
      </c>
      <c r="H339" s="58">
        <f t="shared" si="11"/>
        <v>-1.2392584986218425E-2</v>
      </c>
    </row>
    <row r="340" spans="2:8" x14ac:dyDescent="0.45">
      <c r="B340" s="87">
        <v>43954</v>
      </c>
      <c r="C340" s="167">
        <v>2072.3000000000002</v>
      </c>
      <c r="D340" s="59">
        <f t="shared" si="10"/>
        <v>-4.8089334356152147E-2</v>
      </c>
      <c r="E340" s="85"/>
      <c r="F340" s="87">
        <v>43954</v>
      </c>
      <c r="G340" s="167">
        <v>9251.5</v>
      </c>
      <c r="H340" s="58">
        <f t="shared" si="11"/>
        <v>-6.1704479761457987E-2</v>
      </c>
    </row>
    <row r="341" spans="2:8" x14ac:dyDescent="0.45">
      <c r="B341" s="87">
        <v>43947</v>
      </c>
      <c r="C341" s="167">
        <v>2176.9899999999998</v>
      </c>
      <c r="D341" s="59">
        <f t="shared" si="10"/>
        <v>-3.8584853998480995E-2</v>
      </c>
      <c r="E341" s="85"/>
      <c r="F341" s="87">
        <v>43947</v>
      </c>
      <c r="G341" s="167">
        <v>9859.9</v>
      </c>
      <c r="H341" s="58">
        <f t="shared" si="11"/>
        <v>7.7066765708293294E-2</v>
      </c>
    </row>
    <row r="342" spans="2:8" x14ac:dyDescent="0.45">
      <c r="B342" s="87">
        <v>43940</v>
      </c>
      <c r="C342" s="167">
        <v>2264.36</v>
      </c>
      <c r="D342" s="59">
        <f t="shared" si="10"/>
        <v>-4.272796066677087E-2</v>
      </c>
      <c r="E342" s="85"/>
      <c r="F342" s="87">
        <v>43940</v>
      </c>
      <c r="G342" s="167">
        <v>9154.4</v>
      </c>
      <c r="H342" s="58">
        <f t="shared" si="11"/>
        <v>-1.2123991690722202E-2</v>
      </c>
    </row>
    <row r="343" spans="2:8" x14ac:dyDescent="0.45">
      <c r="B343" s="87">
        <v>43933</v>
      </c>
      <c r="C343" s="167">
        <v>2365.4299999999998</v>
      </c>
      <c r="D343" s="59">
        <f t="shared" si="10"/>
        <v>5.3766182983532307E-3</v>
      </c>
      <c r="E343" s="85"/>
      <c r="F343" s="87">
        <v>43933</v>
      </c>
      <c r="G343" s="167">
        <v>9266.75</v>
      </c>
      <c r="H343" s="58">
        <f t="shared" si="11"/>
        <v>1.699426025307571E-2</v>
      </c>
    </row>
    <row r="344" spans="2:8" x14ac:dyDescent="0.45">
      <c r="B344" s="87">
        <v>43926</v>
      </c>
      <c r="C344" s="167">
        <v>2352.7800000000002</v>
      </c>
      <c r="D344" s="59">
        <f t="shared" si="10"/>
        <v>0.10127222175414952</v>
      </c>
      <c r="E344" s="85"/>
      <c r="F344" s="87">
        <v>43926</v>
      </c>
      <c r="G344" s="167">
        <v>9111.9</v>
      </c>
      <c r="H344" s="58">
        <f t="shared" si="11"/>
        <v>0.12718028649892377</v>
      </c>
    </row>
    <row r="345" spans="2:8" x14ac:dyDescent="0.45">
      <c r="B345" s="87">
        <v>43919</v>
      </c>
      <c r="C345" s="167">
        <v>2136.42</v>
      </c>
      <c r="D345" s="59">
        <f t="shared" si="10"/>
        <v>6.3307237939123073E-3</v>
      </c>
      <c r="E345" s="85"/>
      <c r="F345" s="87">
        <v>43919</v>
      </c>
      <c r="G345" s="167">
        <v>8083.8</v>
      </c>
      <c r="H345" s="58">
        <f t="shared" si="11"/>
        <v>-6.6562743569758331E-2</v>
      </c>
    </row>
    <row r="346" spans="2:8" x14ac:dyDescent="0.45">
      <c r="B346" s="87">
        <v>43912</v>
      </c>
      <c r="C346" s="167">
        <v>2122.98</v>
      </c>
      <c r="D346" s="59">
        <f t="shared" si="10"/>
        <v>4.3305190529078219E-2</v>
      </c>
      <c r="E346" s="85"/>
      <c r="F346" s="87">
        <v>43912</v>
      </c>
      <c r="G346" s="167">
        <v>8660.25</v>
      </c>
      <c r="H346" s="58">
        <f t="shared" si="11"/>
        <v>-9.7422088057219636E-3</v>
      </c>
    </row>
    <row r="347" spans="2:8" x14ac:dyDescent="0.45">
      <c r="B347" s="87">
        <v>43905</v>
      </c>
      <c r="C347" s="167">
        <v>2034.86</v>
      </c>
      <c r="D347" s="59">
        <f t="shared" si="10"/>
        <v>9.0998804865831673E-3</v>
      </c>
      <c r="E347" s="85"/>
      <c r="F347" s="87">
        <v>43905</v>
      </c>
      <c r="G347" s="167">
        <v>8745.4500000000007</v>
      </c>
      <c r="H347" s="58">
        <f t="shared" si="11"/>
        <v>-0.12151940694310515</v>
      </c>
    </row>
    <row r="348" spans="2:8" x14ac:dyDescent="0.45">
      <c r="B348" s="87">
        <v>43898</v>
      </c>
      <c r="C348" s="167">
        <v>2016.51</v>
      </c>
      <c r="D348" s="59">
        <f t="shared" si="10"/>
        <v>-7.11350843413453E-2</v>
      </c>
      <c r="E348" s="85"/>
      <c r="F348" s="87">
        <v>43898</v>
      </c>
      <c r="G348" s="167">
        <v>9955.2000000000007</v>
      </c>
      <c r="H348" s="58">
        <f t="shared" si="11"/>
        <v>-9.4112990186042023E-2</v>
      </c>
    </row>
    <row r="349" spans="2:8" x14ac:dyDescent="0.45">
      <c r="B349" s="87">
        <v>43891</v>
      </c>
      <c r="C349" s="167">
        <v>2170.94</v>
      </c>
      <c r="D349" s="59">
        <f t="shared" si="10"/>
        <v>6.5093421113635586E-3</v>
      </c>
      <c r="E349" s="85"/>
      <c r="F349" s="87">
        <v>43891</v>
      </c>
      <c r="G349" s="167">
        <v>10989.45</v>
      </c>
      <c r="H349" s="58">
        <f t="shared" si="11"/>
        <v>-1.8952395831008495E-2</v>
      </c>
    </row>
    <row r="350" spans="2:8" x14ac:dyDescent="0.45">
      <c r="B350" s="87">
        <v>43884</v>
      </c>
      <c r="C350" s="167">
        <v>2156.9</v>
      </c>
      <c r="D350" s="59">
        <f t="shared" si="10"/>
        <v>-3.2693515113463079E-2</v>
      </c>
      <c r="E350" s="85"/>
      <c r="F350" s="87">
        <v>43884</v>
      </c>
      <c r="G350" s="167">
        <v>11201.75</v>
      </c>
      <c r="H350" s="58">
        <f t="shared" si="11"/>
        <v>-7.2768058538927316E-2</v>
      </c>
    </row>
    <row r="351" spans="2:8" x14ac:dyDescent="0.45">
      <c r="B351" s="87">
        <v>43877</v>
      </c>
      <c r="C351" s="167">
        <v>2229.8000000000002</v>
      </c>
      <c r="D351" s="59">
        <f t="shared" si="10"/>
        <v>-3.013583481627724E-3</v>
      </c>
      <c r="E351" s="85"/>
      <c r="F351" s="87">
        <v>43877</v>
      </c>
      <c r="G351" s="167">
        <v>12080.85</v>
      </c>
      <c r="H351" s="58">
        <f t="shared" si="11"/>
        <v>-2.6912233921797535E-3</v>
      </c>
    </row>
    <row r="352" spans="2:8" x14ac:dyDescent="0.45">
      <c r="B352" s="87">
        <v>43870</v>
      </c>
      <c r="C352" s="167">
        <v>2236.54</v>
      </c>
      <c r="D352" s="59">
        <f t="shared" si="10"/>
        <v>4.4029091316484914E-2</v>
      </c>
      <c r="E352" s="85"/>
      <c r="F352" s="87">
        <v>43870</v>
      </c>
      <c r="G352" s="167">
        <v>12113.45</v>
      </c>
      <c r="H352" s="58">
        <f t="shared" si="11"/>
        <v>1.2481040803085097E-3</v>
      </c>
    </row>
    <row r="353" spans="2:8" x14ac:dyDescent="0.45">
      <c r="B353" s="87">
        <v>43863</v>
      </c>
      <c r="C353" s="167">
        <v>2142.2199999999998</v>
      </c>
      <c r="D353" s="59">
        <f t="shared" si="10"/>
        <v>6.1787505699954393E-2</v>
      </c>
      <c r="E353" s="85"/>
      <c r="F353" s="87">
        <v>43863</v>
      </c>
      <c r="G353" s="167">
        <v>12098.35</v>
      </c>
      <c r="H353" s="58">
        <f t="shared" si="11"/>
        <v>1.1390140527165027E-2</v>
      </c>
    </row>
    <row r="354" spans="2:8" x14ac:dyDescent="0.45">
      <c r="B354" s="87">
        <v>43856</v>
      </c>
      <c r="C354" s="167">
        <v>2017.56</v>
      </c>
      <c r="D354" s="59">
        <f t="shared" si="10"/>
        <v>-1.9020946379602055E-2</v>
      </c>
      <c r="E354" s="85"/>
      <c r="F354" s="87">
        <v>43856</v>
      </c>
      <c r="G354" s="167">
        <v>11962.1</v>
      </c>
      <c r="H354" s="58">
        <f t="shared" si="11"/>
        <v>-2.3362521176494622E-2</v>
      </c>
    </row>
    <row r="355" spans="2:8" x14ac:dyDescent="0.45">
      <c r="B355" s="87">
        <v>43849</v>
      </c>
      <c r="C355" s="167">
        <v>2056.6799999999998</v>
      </c>
      <c r="D355" s="59">
        <f t="shared" si="10"/>
        <v>6.5038979343148284E-3</v>
      </c>
      <c r="E355" s="85"/>
      <c r="F355" s="87">
        <v>43849</v>
      </c>
      <c r="G355" s="167">
        <v>12248.25</v>
      </c>
      <c r="H355" s="58">
        <f t="shared" si="11"/>
        <v>-8.4275461754241832E-3</v>
      </c>
    </row>
    <row r="356" spans="2:8" x14ac:dyDescent="0.45">
      <c r="B356" s="87">
        <v>43842</v>
      </c>
      <c r="C356" s="167">
        <v>2043.39</v>
      </c>
      <c r="D356" s="59">
        <f t="shared" si="10"/>
        <v>5.4402567648455191E-2</v>
      </c>
      <c r="E356" s="85"/>
      <c r="F356" s="87">
        <v>43842</v>
      </c>
      <c r="G356" s="167">
        <v>12352.35</v>
      </c>
      <c r="H356" s="58">
        <f t="shared" si="11"/>
        <v>7.7956726062269333E-3</v>
      </c>
    </row>
    <row r="357" spans="2:8" x14ac:dyDescent="0.45">
      <c r="B357" s="87">
        <v>43835</v>
      </c>
      <c r="C357" s="167">
        <v>1937.96</v>
      </c>
      <c r="D357" s="59">
        <f t="shared" si="10"/>
        <v>1.3773585892667528E-2</v>
      </c>
      <c r="E357" s="85"/>
      <c r="F357" s="87">
        <v>43835</v>
      </c>
      <c r="G357" s="167">
        <v>12256.8</v>
      </c>
      <c r="H357" s="58">
        <f t="shared" si="11"/>
        <v>2.4659248444995896E-3</v>
      </c>
    </row>
    <row r="358" spans="2:8" x14ac:dyDescent="0.45">
      <c r="B358" s="87">
        <v>43828</v>
      </c>
      <c r="C358" s="167">
        <v>1911.63</v>
      </c>
      <c r="D358" s="59">
        <f t="shared" si="10"/>
        <v>-1.1515590258027841E-2</v>
      </c>
      <c r="E358" s="85"/>
      <c r="F358" s="87">
        <v>43828</v>
      </c>
      <c r="G358" s="167">
        <v>12226.65</v>
      </c>
      <c r="H358" s="58">
        <f t="shared" si="11"/>
        <v>-1.5638014666252698E-3</v>
      </c>
    </row>
    <row r="359" spans="2:8" x14ac:dyDescent="0.45">
      <c r="B359" s="87">
        <v>43821</v>
      </c>
      <c r="C359" s="167">
        <v>1933.9</v>
      </c>
      <c r="D359" s="59">
        <f t="shared" si="10"/>
        <v>3.5025815323146414E-3</v>
      </c>
      <c r="E359" s="85"/>
      <c r="F359" s="87">
        <v>43821</v>
      </c>
      <c r="G359" s="167">
        <v>12245.8</v>
      </c>
      <c r="H359" s="58">
        <f t="shared" si="11"/>
        <v>-2.1186785964568688E-3</v>
      </c>
    </row>
    <row r="360" spans="2:8" x14ac:dyDescent="0.45">
      <c r="B360" s="87">
        <v>43814</v>
      </c>
      <c r="C360" s="167">
        <v>1927.15</v>
      </c>
      <c r="D360" s="59">
        <f t="shared" si="10"/>
        <v>-3.1451503470320108E-2</v>
      </c>
      <c r="E360" s="85"/>
      <c r="F360" s="87">
        <v>43814</v>
      </c>
      <c r="G360" s="167">
        <v>12271.8</v>
      </c>
      <c r="H360" s="58">
        <f t="shared" si="11"/>
        <v>1.5314353793839386E-2</v>
      </c>
    </row>
    <row r="361" spans="2:8" x14ac:dyDescent="0.45">
      <c r="B361" s="87">
        <v>43807</v>
      </c>
      <c r="C361" s="167">
        <v>1989.73</v>
      </c>
      <c r="D361" s="59">
        <f t="shared" si="10"/>
        <v>-9.798847428611257E-3</v>
      </c>
      <c r="E361" s="85"/>
      <c r="F361" s="87">
        <v>43807</v>
      </c>
      <c r="G361" s="167">
        <v>12086.7</v>
      </c>
      <c r="H361" s="58">
        <f t="shared" si="11"/>
        <v>1.3857316612842396E-2</v>
      </c>
    </row>
    <row r="362" spans="2:8" x14ac:dyDescent="0.45">
      <c r="B362" s="87">
        <v>43800</v>
      </c>
      <c r="C362" s="167">
        <v>2009.42</v>
      </c>
      <c r="D362" s="59">
        <f t="shared" si="10"/>
        <v>-4.5477063311204491E-3</v>
      </c>
      <c r="E362" s="85"/>
      <c r="F362" s="87">
        <v>43800</v>
      </c>
      <c r="G362" s="167">
        <v>11921.5</v>
      </c>
      <c r="H362" s="58">
        <f t="shared" si="11"/>
        <v>-1.1160371763554333E-2</v>
      </c>
    </row>
    <row r="363" spans="2:8" x14ac:dyDescent="0.45">
      <c r="B363" s="87">
        <v>43793</v>
      </c>
      <c r="C363" s="167">
        <v>2018.6</v>
      </c>
      <c r="D363" s="59">
        <f t="shared" si="10"/>
        <v>3.4299348809463392E-3</v>
      </c>
      <c r="E363" s="85"/>
      <c r="F363" s="87">
        <v>43793</v>
      </c>
      <c r="G363" s="167">
        <v>12056.05</v>
      </c>
      <c r="H363" s="58">
        <f t="shared" si="11"/>
        <v>1.1888974686094178E-2</v>
      </c>
    </row>
    <row r="364" spans="2:8" x14ac:dyDescent="0.45">
      <c r="B364" s="87">
        <v>43786</v>
      </c>
      <c r="C364" s="167">
        <v>2011.7</v>
      </c>
      <c r="D364" s="59">
        <f t="shared" si="10"/>
        <v>-1.4263944218227076E-2</v>
      </c>
      <c r="E364" s="85"/>
      <c r="F364" s="87">
        <v>43786</v>
      </c>
      <c r="G364" s="167">
        <v>11914.4</v>
      </c>
      <c r="H364" s="58">
        <f t="shared" si="11"/>
        <v>1.5930460806441449E-3</v>
      </c>
    </row>
    <row r="365" spans="2:8" x14ac:dyDescent="0.45">
      <c r="B365" s="87">
        <v>43779</v>
      </c>
      <c r="C365" s="167">
        <v>2040.81</v>
      </c>
      <c r="D365" s="59">
        <f t="shared" si="10"/>
        <v>-1.3758408721874393E-2</v>
      </c>
      <c r="E365" s="85"/>
      <c r="F365" s="87">
        <v>43779</v>
      </c>
      <c r="G365" s="167">
        <v>11895.45</v>
      </c>
      <c r="H365" s="58">
        <f t="shared" si="11"/>
        <v>-1.0664964751030404E-3</v>
      </c>
    </row>
    <row r="366" spans="2:8" x14ac:dyDescent="0.45">
      <c r="B366" s="87">
        <v>43772</v>
      </c>
      <c r="C366" s="167">
        <v>2069.2800000000002</v>
      </c>
      <c r="D366" s="59">
        <f t="shared" si="10"/>
        <v>-4.2647099645609865E-2</v>
      </c>
      <c r="E366" s="85"/>
      <c r="F366" s="87">
        <v>43772</v>
      </c>
      <c r="G366" s="167">
        <v>11908.15</v>
      </c>
      <c r="H366" s="58">
        <f t="shared" si="11"/>
        <v>1.475955797016093E-3</v>
      </c>
    </row>
    <row r="367" spans="2:8" x14ac:dyDescent="0.45">
      <c r="B367" s="87">
        <v>43765</v>
      </c>
      <c r="C367" s="167">
        <v>2161.46</v>
      </c>
      <c r="D367" s="59">
        <f t="shared" si="10"/>
        <v>1.5962397179788423E-2</v>
      </c>
      <c r="E367" s="85"/>
      <c r="F367" s="87">
        <v>43765</v>
      </c>
      <c r="G367" s="167">
        <v>11890.6</v>
      </c>
      <c r="H367" s="58">
        <f t="shared" si="11"/>
        <v>2.6476402593254456E-2</v>
      </c>
    </row>
    <row r="368" spans="2:8" x14ac:dyDescent="0.45">
      <c r="B368" s="87">
        <v>43758</v>
      </c>
      <c r="C368" s="167">
        <v>2127.5</v>
      </c>
      <c r="D368" s="59">
        <f t="shared" si="10"/>
        <v>1.8156932559964867E-2</v>
      </c>
      <c r="E368" s="85"/>
      <c r="F368" s="87">
        <v>43758</v>
      </c>
      <c r="G368" s="167">
        <v>11583.9</v>
      </c>
      <c r="H368" s="58">
        <f t="shared" si="11"/>
        <v>-6.6841881862654828E-3</v>
      </c>
    </row>
    <row r="369" spans="2:8" x14ac:dyDescent="0.45">
      <c r="B369" s="87">
        <v>43751</v>
      </c>
      <c r="C369" s="167">
        <v>2089.56</v>
      </c>
      <c r="D369" s="59">
        <f t="shared" si="10"/>
        <v>5.0980786641182885E-2</v>
      </c>
      <c r="E369" s="85"/>
      <c r="F369" s="87">
        <v>43751</v>
      </c>
      <c r="G369" s="167">
        <v>11661.85</v>
      </c>
      <c r="H369" s="58">
        <f t="shared" si="11"/>
        <v>3.156111649218718E-2</v>
      </c>
    </row>
    <row r="370" spans="2:8" x14ac:dyDescent="0.45">
      <c r="B370" s="87">
        <v>43744</v>
      </c>
      <c r="C370" s="167">
        <v>1988.2</v>
      </c>
      <c r="D370" s="59">
        <f t="shared" si="10"/>
        <v>3.109571422644497E-2</v>
      </c>
      <c r="E370" s="85"/>
      <c r="F370" s="87">
        <v>43744</v>
      </c>
      <c r="G370" s="167">
        <v>11305.05</v>
      </c>
      <c r="H370" s="58">
        <f t="shared" si="11"/>
        <v>1.1660216112217237E-2</v>
      </c>
    </row>
    <row r="371" spans="2:8" x14ac:dyDescent="0.45">
      <c r="B371" s="87">
        <v>43737</v>
      </c>
      <c r="C371" s="167">
        <v>1928.24</v>
      </c>
      <c r="D371" s="59">
        <f t="shared" si="10"/>
        <v>-3.3172884075411191E-2</v>
      </c>
      <c r="E371" s="85"/>
      <c r="F371" s="87">
        <v>43737</v>
      </c>
      <c r="G371" s="167">
        <v>11174.75</v>
      </c>
      <c r="H371" s="58">
        <f t="shared" si="11"/>
        <v>-2.9329244988012926E-2</v>
      </c>
    </row>
    <row r="372" spans="2:8" x14ac:dyDescent="0.45">
      <c r="B372" s="87">
        <v>43730</v>
      </c>
      <c r="C372" s="167">
        <v>1994.4</v>
      </c>
      <c r="D372" s="59">
        <f t="shared" si="10"/>
        <v>2.0894972307251347E-2</v>
      </c>
      <c r="E372" s="85"/>
      <c r="F372" s="87">
        <v>43730</v>
      </c>
      <c r="G372" s="167">
        <v>11512.4</v>
      </c>
      <c r="H372" s="58">
        <f t="shared" si="11"/>
        <v>2.1127884905359107E-2</v>
      </c>
    </row>
    <row r="373" spans="2:8" x14ac:dyDescent="0.45">
      <c r="B373" s="87">
        <v>43723</v>
      </c>
      <c r="C373" s="167">
        <v>1953.58</v>
      </c>
      <c r="D373" s="59">
        <f t="shared" si="10"/>
        <v>9.0940566137831969E-2</v>
      </c>
      <c r="E373" s="85"/>
      <c r="F373" s="87">
        <v>43723</v>
      </c>
      <c r="G373" s="167">
        <v>11274.2</v>
      </c>
      <c r="H373" s="58">
        <f t="shared" si="11"/>
        <v>1.7903736942370463E-2</v>
      </c>
    </row>
    <row r="374" spans="2:8" x14ac:dyDescent="0.45">
      <c r="B374" s="87">
        <v>43716</v>
      </c>
      <c r="C374" s="167">
        <v>1790.73</v>
      </c>
      <c r="D374" s="59">
        <f t="shared" si="10"/>
        <v>-7.4769152320670607E-3</v>
      </c>
      <c r="E374" s="85"/>
      <c r="F374" s="87">
        <v>43716</v>
      </c>
      <c r="G374" s="167">
        <v>11075.9</v>
      </c>
      <c r="H374" s="58">
        <f t="shared" si="11"/>
        <v>1.1848860791872973E-2</v>
      </c>
    </row>
    <row r="375" spans="2:8" x14ac:dyDescent="0.45">
      <c r="B375" s="87">
        <v>43709</v>
      </c>
      <c r="C375" s="167">
        <v>1804.22</v>
      </c>
      <c r="D375" s="59">
        <f t="shared" si="10"/>
        <v>-3.71793435046881E-2</v>
      </c>
      <c r="E375" s="85"/>
      <c r="F375" s="87">
        <v>43709</v>
      </c>
      <c r="G375" s="167">
        <v>10946.2</v>
      </c>
      <c r="H375" s="58">
        <f t="shared" si="11"/>
        <v>-6.989771619077767E-3</v>
      </c>
    </row>
    <row r="376" spans="2:8" x14ac:dyDescent="0.45">
      <c r="B376" s="87">
        <v>43702</v>
      </c>
      <c r="C376" s="167">
        <v>1873.89</v>
      </c>
      <c r="D376" s="59">
        <f t="shared" si="10"/>
        <v>1.1775949203058245E-2</v>
      </c>
      <c r="E376" s="85"/>
      <c r="F376" s="87">
        <v>43702</v>
      </c>
      <c r="G376" s="167">
        <v>11023.25</v>
      </c>
      <c r="H376" s="58">
        <f t="shared" si="11"/>
        <v>1.790504508580848E-2</v>
      </c>
    </row>
    <row r="377" spans="2:8" x14ac:dyDescent="0.45">
      <c r="B377" s="87">
        <v>43695</v>
      </c>
      <c r="C377" s="167">
        <v>1852.08</v>
      </c>
      <c r="D377" s="59">
        <f t="shared" si="10"/>
        <v>1.7145744318618705E-2</v>
      </c>
      <c r="E377" s="85"/>
      <c r="F377" s="87">
        <v>43695</v>
      </c>
      <c r="G377" s="167">
        <v>10829.35</v>
      </c>
      <c r="H377" s="58">
        <f t="shared" si="11"/>
        <v>-1.9773167508463141E-2</v>
      </c>
    </row>
    <row r="378" spans="2:8" x14ac:dyDescent="0.45">
      <c r="B378" s="87">
        <v>43688</v>
      </c>
      <c r="C378" s="167">
        <v>1820.86</v>
      </c>
      <c r="D378" s="59">
        <f t="shared" si="10"/>
        <v>-6.8993351549759829E-3</v>
      </c>
      <c r="E378" s="85"/>
      <c r="F378" s="87">
        <v>43688</v>
      </c>
      <c r="G378" s="167">
        <v>11047.8</v>
      </c>
      <c r="H378" s="58">
        <f t="shared" si="11"/>
        <v>-5.5672320910199469E-3</v>
      </c>
    </row>
    <row r="379" spans="2:8" x14ac:dyDescent="0.45">
      <c r="B379" s="87">
        <v>43681</v>
      </c>
      <c r="C379" s="167">
        <v>1833.51</v>
      </c>
      <c r="D379" s="59">
        <f t="shared" si="10"/>
        <v>5.9801739834108858E-2</v>
      </c>
      <c r="E379" s="85"/>
      <c r="F379" s="87">
        <v>43681</v>
      </c>
      <c r="G379" s="167">
        <v>11109.65</v>
      </c>
      <c r="H379" s="58">
        <f t="shared" si="11"/>
        <v>1.0211550964550398E-2</v>
      </c>
    </row>
    <row r="380" spans="2:8" x14ac:dyDescent="0.45">
      <c r="B380" s="87">
        <v>43674</v>
      </c>
      <c r="C380" s="167">
        <v>1730.05</v>
      </c>
      <c r="D380" s="59">
        <f t="shared" si="10"/>
        <v>3.9285548488927624E-3</v>
      </c>
      <c r="E380" s="85"/>
      <c r="F380" s="87">
        <v>43674</v>
      </c>
      <c r="G380" s="167">
        <v>10997.35</v>
      </c>
      <c r="H380" s="58">
        <f t="shared" si="11"/>
        <v>-2.5429136056290491E-2</v>
      </c>
    </row>
    <row r="381" spans="2:8" x14ac:dyDescent="0.45">
      <c r="B381" s="87">
        <v>43667</v>
      </c>
      <c r="C381" s="167">
        <v>1723.28</v>
      </c>
      <c r="D381" s="59">
        <f t="shared" si="10"/>
        <v>5.9600600092233336E-3</v>
      </c>
      <c r="E381" s="85"/>
      <c r="F381" s="87">
        <v>43667</v>
      </c>
      <c r="G381" s="167">
        <v>11284.3</v>
      </c>
      <c r="H381" s="58">
        <f t="shared" si="11"/>
        <v>-1.1817763863651409E-2</v>
      </c>
    </row>
    <row r="382" spans="2:8" x14ac:dyDescent="0.45">
      <c r="B382" s="87">
        <v>43660</v>
      </c>
      <c r="C382" s="167">
        <v>1713.07</v>
      </c>
      <c r="D382" s="59">
        <f t="shared" si="10"/>
        <v>4.1971733561558811E-3</v>
      </c>
      <c r="E382" s="85"/>
      <c r="F382" s="87">
        <v>43660</v>
      </c>
      <c r="G382" s="167">
        <v>11419.25</v>
      </c>
      <c r="H382" s="58">
        <f t="shared" si="11"/>
        <v>-1.153429993507904E-2</v>
      </c>
    </row>
    <row r="383" spans="2:8" x14ac:dyDescent="0.45">
      <c r="B383" s="87">
        <v>43653</v>
      </c>
      <c r="C383" s="167">
        <v>1705.91</v>
      </c>
      <c r="D383" s="59">
        <f t="shared" si="10"/>
        <v>-4.3649125167482317E-2</v>
      </c>
      <c r="E383" s="85"/>
      <c r="F383" s="87">
        <v>43653</v>
      </c>
      <c r="G383" s="167">
        <v>11552.5</v>
      </c>
      <c r="H383" s="58">
        <f t="shared" si="11"/>
        <v>-2.1898799016183856E-2</v>
      </c>
    </row>
    <row r="384" spans="2:8" x14ac:dyDescent="0.45">
      <c r="B384" s="87">
        <v>43646</v>
      </c>
      <c r="C384" s="167">
        <v>1783.77</v>
      </c>
      <c r="D384" s="59">
        <f t="shared" si="10"/>
        <v>2.1236074359967105E-3</v>
      </c>
      <c r="E384" s="85"/>
      <c r="F384" s="87">
        <v>43646</v>
      </c>
      <c r="G384" s="167">
        <v>11811.15</v>
      </c>
      <c r="H384" s="58">
        <f t="shared" si="11"/>
        <v>1.8916179271091238E-3</v>
      </c>
    </row>
    <row r="385" spans="2:8" x14ac:dyDescent="0.45">
      <c r="B385" s="87">
        <v>43639</v>
      </c>
      <c r="C385" s="167">
        <v>1779.99</v>
      </c>
      <c r="D385" s="59">
        <f t="shared" si="10"/>
        <v>1.1858134418718302E-2</v>
      </c>
      <c r="E385" s="85"/>
      <c r="F385" s="87">
        <v>43639</v>
      </c>
      <c r="G385" s="167">
        <v>11788.85</v>
      </c>
      <c r="H385" s="58">
        <f t="shared" si="11"/>
        <v>5.5228119855681435E-3</v>
      </c>
    </row>
    <row r="386" spans="2:8" x14ac:dyDescent="0.45">
      <c r="B386" s="87">
        <v>43632</v>
      </c>
      <c r="C386" s="167">
        <v>1759.13</v>
      </c>
      <c r="D386" s="59">
        <f t="shared" si="10"/>
        <v>-3.0883819324698747E-2</v>
      </c>
      <c r="E386" s="85"/>
      <c r="F386" s="87">
        <v>43632</v>
      </c>
      <c r="G386" s="167">
        <v>11724.1</v>
      </c>
      <c r="H386" s="58">
        <f t="shared" si="11"/>
        <v>-8.3902125464124788E-3</v>
      </c>
    </row>
    <row r="387" spans="2:8" x14ac:dyDescent="0.45">
      <c r="B387" s="87">
        <v>43625</v>
      </c>
      <c r="C387" s="167">
        <v>1815.19</v>
      </c>
      <c r="D387" s="59">
        <f t="shared" si="10"/>
        <v>-4.2568364464192765E-3</v>
      </c>
      <c r="E387" s="85"/>
      <c r="F387" s="87">
        <v>43625</v>
      </c>
      <c r="G387" s="167">
        <v>11823.3</v>
      </c>
      <c r="H387" s="58">
        <f t="shared" si="11"/>
        <v>-3.9888295923138362E-3</v>
      </c>
    </row>
    <row r="388" spans="2:8" x14ac:dyDescent="0.45">
      <c r="B388" s="87">
        <v>43618</v>
      </c>
      <c r="C388" s="167">
        <v>1822.95</v>
      </c>
      <c r="D388" s="59">
        <f t="shared" ref="D388:D451" si="12">IFERROR((C388/C389)-1,0)</f>
        <v>2.361740478075558E-2</v>
      </c>
      <c r="E388" s="85"/>
      <c r="F388" s="87">
        <v>43618</v>
      </c>
      <c r="G388" s="167">
        <v>11870.65</v>
      </c>
      <c r="H388" s="58">
        <f t="shared" ref="H388:H451" si="13">IFERROR((G388/G389)-1,0)</f>
        <v>-4.3739725567819576E-3</v>
      </c>
    </row>
    <row r="389" spans="2:8" x14ac:dyDescent="0.45">
      <c r="B389" s="87">
        <v>43611</v>
      </c>
      <c r="C389" s="167">
        <v>1780.89</v>
      </c>
      <c r="D389" s="59">
        <f t="shared" si="12"/>
        <v>2.2236891197658037E-2</v>
      </c>
      <c r="E389" s="85"/>
      <c r="F389" s="87">
        <v>43611</v>
      </c>
      <c r="G389" s="167">
        <v>11922.8</v>
      </c>
      <c r="H389" s="58">
        <f t="shared" si="13"/>
        <v>6.6446585219643861E-3</v>
      </c>
    </row>
    <row r="390" spans="2:8" x14ac:dyDescent="0.45">
      <c r="B390" s="87">
        <v>43604</v>
      </c>
      <c r="C390" s="167">
        <v>1742.15</v>
      </c>
      <c r="D390" s="59">
        <f t="shared" si="12"/>
        <v>7.3666741836810878E-3</v>
      </c>
      <c r="E390" s="85"/>
      <c r="F390" s="87">
        <v>43604</v>
      </c>
      <c r="G390" s="167">
        <v>11844.1</v>
      </c>
      <c r="H390" s="58">
        <f t="shared" si="13"/>
        <v>3.8304922789653917E-2</v>
      </c>
    </row>
    <row r="391" spans="2:8" x14ac:dyDescent="0.45">
      <c r="B391" s="87">
        <v>43597</v>
      </c>
      <c r="C391" s="167">
        <v>1729.41</v>
      </c>
      <c r="D391" s="59">
        <f t="shared" si="12"/>
        <v>2.9245299862522112E-2</v>
      </c>
      <c r="E391" s="85"/>
      <c r="F391" s="87">
        <v>43597</v>
      </c>
      <c r="G391" s="167">
        <v>11407.15</v>
      </c>
      <c r="H391" s="58">
        <f t="shared" si="13"/>
        <v>1.1370789704669759E-2</v>
      </c>
    </row>
    <row r="392" spans="2:8" x14ac:dyDescent="0.45">
      <c r="B392" s="87">
        <v>43590</v>
      </c>
      <c r="C392" s="167">
        <v>1680.27</v>
      </c>
      <c r="D392" s="59">
        <f t="shared" si="12"/>
        <v>-3.5995113678143342E-3</v>
      </c>
      <c r="E392" s="85"/>
      <c r="F392" s="87">
        <v>43590</v>
      </c>
      <c r="G392" s="167">
        <v>11278.9</v>
      </c>
      <c r="H392" s="58">
        <f t="shared" si="13"/>
        <v>-3.6999722512753741E-2</v>
      </c>
    </row>
    <row r="393" spans="2:8" x14ac:dyDescent="0.45">
      <c r="B393" s="87">
        <v>43583</v>
      </c>
      <c r="C393" s="167">
        <v>1686.34</v>
      </c>
      <c r="D393" s="59">
        <f t="shared" si="12"/>
        <v>-3.0788948853676446E-2</v>
      </c>
      <c r="E393" s="85"/>
      <c r="F393" s="87">
        <v>43583</v>
      </c>
      <c r="G393" s="167">
        <v>11712.25</v>
      </c>
      <c r="H393" s="58">
        <f t="shared" si="13"/>
        <v>-3.6070831543261184E-3</v>
      </c>
    </row>
    <row r="394" spans="2:8" x14ac:dyDescent="0.45">
      <c r="B394" s="87">
        <v>43576</v>
      </c>
      <c r="C394" s="167">
        <v>1739.91</v>
      </c>
      <c r="D394" s="59">
        <f t="shared" si="12"/>
        <v>4.2828530034806356E-3</v>
      </c>
      <c r="E394" s="85"/>
      <c r="F394" s="87">
        <v>43576</v>
      </c>
      <c r="G394" s="167">
        <v>11754.65</v>
      </c>
      <c r="H394" s="58">
        <f t="shared" si="13"/>
        <v>1.5740929820973193E-4</v>
      </c>
    </row>
    <row r="395" spans="2:8" x14ac:dyDescent="0.45">
      <c r="B395" s="87">
        <v>43569</v>
      </c>
      <c r="C395" s="167">
        <v>1732.49</v>
      </c>
      <c r="D395" s="59">
        <f t="shared" si="12"/>
        <v>1.0598954687572881E-2</v>
      </c>
      <c r="E395" s="85"/>
      <c r="F395" s="87">
        <v>43569</v>
      </c>
      <c r="G395" s="167">
        <v>11752.8</v>
      </c>
      <c r="H395" s="58">
        <f t="shared" si="13"/>
        <v>9.3915463200338056E-3</v>
      </c>
    </row>
    <row r="396" spans="2:8" x14ac:dyDescent="0.45">
      <c r="B396" s="87">
        <v>43562</v>
      </c>
      <c r="C396" s="167">
        <v>1714.32</v>
      </c>
      <c r="D396" s="59">
        <f t="shared" si="12"/>
        <v>3.7698845064284114E-2</v>
      </c>
      <c r="E396" s="85"/>
      <c r="F396" s="87">
        <v>43562</v>
      </c>
      <c r="G396" s="167">
        <v>11643.45</v>
      </c>
      <c r="H396" s="58">
        <f t="shared" si="13"/>
        <v>-1.9286899052370909E-3</v>
      </c>
    </row>
    <row r="397" spans="2:8" x14ac:dyDescent="0.45">
      <c r="B397" s="87">
        <v>43555</v>
      </c>
      <c r="C397" s="167">
        <v>1652.04</v>
      </c>
      <c r="D397" s="59">
        <f t="shared" si="12"/>
        <v>-2.7943019540696556E-2</v>
      </c>
      <c r="E397" s="85"/>
      <c r="F397" s="87">
        <v>43555</v>
      </c>
      <c r="G397" s="167">
        <v>11665.95</v>
      </c>
      <c r="H397" s="58">
        <f t="shared" si="13"/>
        <v>3.6175466065606621E-3</v>
      </c>
    </row>
    <row r="398" spans="2:8" x14ac:dyDescent="0.45">
      <c r="B398" s="87">
        <v>43548</v>
      </c>
      <c r="C398" s="167">
        <v>1699.53</v>
      </c>
      <c r="D398" s="59">
        <f t="shared" si="12"/>
        <v>1.7128391116218111E-2</v>
      </c>
      <c r="E398" s="85"/>
      <c r="F398" s="87">
        <v>43548</v>
      </c>
      <c r="G398" s="167">
        <v>11623.9</v>
      </c>
      <c r="H398" s="58">
        <f t="shared" si="13"/>
        <v>1.4576368825773178E-2</v>
      </c>
    </row>
    <row r="399" spans="2:8" x14ac:dyDescent="0.45">
      <c r="B399" s="87">
        <v>43541</v>
      </c>
      <c r="C399" s="167">
        <v>1670.91</v>
      </c>
      <c r="D399" s="59">
        <f t="shared" si="12"/>
        <v>-1.1979871922988217E-2</v>
      </c>
      <c r="E399" s="85"/>
      <c r="F399" s="87">
        <v>43541</v>
      </c>
      <c r="G399" s="167">
        <v>11456.9</v>
      </c>
      <c r="H399" s="58">
        <f t="shared" si="13"/>
        <v>2.6297711092733156E-3</v>
      </c>
    </row>
    <row r="400" spans="2:8" x14ac:dyDescent="0.45">
      <c r="B400" s="87">
        <v>43534</v>
      </c>
      <c r="C400" s="167">
        <v>1691.17</v>
      </c>
      <c r="D400" s="59">
        <f t="shared" si="12"/>
        <v>-1.8768259214446692E-3</v>
      </c>
      <c r="E400" s="85"/>
      <c r="F400" s="87">
        <v>43534</v>
      </c>
      <c r="G400" s="167">
        <v>11426.85</v>
      </c>
      <c r="H400" s="58">
        <f t="shared" si="13"/>
        <v>3.5472207622741392E-2</v>
      </c>
    </row>
    <row r="401" spans="2:8" x14ac:dyDescent="0.45">
      <c r="B401" s="87">
        <v>43527</v>
      </c>
      <c r="C401" s="167">
        <v>1694.35</v>
      </c>
      <c r="D401" s="59">
        <f t="shared" si="12"/>
        <v>-1.9053298287461162E-2</v>
      </c>
      <c r="E401" s="85"/>
      <c r="F401" s="87">
        <v>43527</v>
      </c>
      <c r="G401" s="167">
        <v>11035.4</v>
      </c>
      <c r="H401" s="58">
        <f t="shared" si="13"/>
        <v>1.5823629585308474E-2</v>
      </c>
    </row>
    <row r="402" spans="2:8" x14ac:dyDescent="0.45">
      <c r="B402" s="87">
        <v>43520</v>
      </c>
      <c r="C402" s="167">
        <v>1727.26</v>
      </c>
      <c r="D402" s="59">
        <f t="shared" si="12"/>
        <v>-1.917070788520292E-2</v>
      </c>
      <c r="E402" s="85"/>
      <c r="F402" s="87">
        <v>43520</v>
      </c>
      <c r="G402" s="167">
        <v>10863.5</v>
      </c>
      <c r="H402" s="58">
        <f t="shared" si="13"/>
        <v>6.657925340425308E-3</v>
      </c>
    </row>
    <row r="403" spans="2:8" x14ac:dyDescent="0.45">
      <c r="B403" s="87">
        <v>43513</v>
      </c>
      <c r="C403" s="167">
        <v>1761.02</v>
      </c>
      <c r="D403" s="59">
        <f t="shared" si="12"/>
        <v>-2.3962611528112188E-3</v>
      </c>
      <c r="E403" s="85"/>
      <c r="F403" s="87">
        <v>43513</v>
      </c>
      <c r="G403" s="167">
        <v>10791.65</v>
      </c>
      <c r="H403" s="58">
        <f t="shared" si="13"/>
        <v>6.2707470814218347E-3</v>
      </c>
    </row>
    <row r="404" spans="2:8" x14ac:dyDescent="0.45">
      <c r="B404" s="87">
        <v>43506</v>
      </c>
      <c r="C404" s="167">
        <v>1765.25</v>
      </c>
      <c r="D404" s="59">
        <f t="shared" si="12"/>
        <v>-2.44866155308473E-2</v>
      </c>
      <c r="E404" s="85"/>
      <c r="F404" s="87">
        <v>43506</v>
      </c>
      <c r="G404" s="167">
        <v>10724.4</v>
      </c>
      <c r="H404" s="58">
        <f t="shared" si="13"/>
        <v>-2.0029971855696549E-2</v>
      </c>
    </row>
    <row r="405" spans="2:8" x14ac:dyDescent="0.45">
      <c r="B405" s="87">
        <v>43499</v>
      </c>
      <c r="C405" s="167">
        <v>1809.56</v>
      </c>
      <c r="D405" s="59">
        <f t="shared" si="12"/>
        <v>1.0002009332231943E-2</v>
      </c>
      <c r="E405" s="85"/>
      <c r="F405" s="87">
        <v>43499</v>
      </c>
      <c r="G405" s="167">
        <v>10943.6</v>
      </c>
      <c r="H405" s="58">
        <f t="shared" si="13"/>
        <v>4.5852400251522596E-3</v>
      </c>
    </row>
    <row r="406" spans="2:8" x14ac:dyDescent="0.45">
      <c r="B406" s="87">
        <v>43492</v>
      </c>
      <c r="C406" s="167">
        <v>1791.64</v>
      </c>
      <c r="D406" s="59">
        <f t="shared" si="12"/>
        <v>2.4192257562938746E-2</v>
      </c>
      <c r="E406" s="85"/>
      <c r="F406" s="87">
        <v>43492</v>
      </c>
      <c r="G406" s="167">
        <v>10893.65</v>
      </c>
      <c r="H406" s="58">
        <f t="shared" si="13"/>
        <v>1.0491115944919249E-2</v>
      </c>
    </row>
    <row r="407" spans="2:8" x14ac:dyDescent="0.45">
      <c r="B407" s="87">
        <v>43485</v>
      </c>
      <c r="C407" s="167">
        <v>1749.32</v>
      </c>
      <c r="D407" s="59">
        <f t="shared" si="12"/>
        <v>7.2840551169766066E-3</v>
      </c>
      <c r="E407" s="85"/>
      <c r="F407" s="87">
        <v>43485</v>
      </c>
      <c r="G407" s="167">
        <v>10780.55</v>
      </c>
      <c r="H407" s="58">
        <f t="shared" si="13"/>
        <v>-1.1588940996337338E-2</v>
      </c>
    </row>
    <row r="408" spans="2:8" x14ac:dyDescent="0.45">
      <c r="B408" s="87">
        <v>43478</v>
      </c>
      <c r="C408" s="167">
        <v>1736.67</v>
      </c>
      <c r="D408" s="59">
        <f t="shared" si="12"/>
        <v>-1.4302984896728987E-2</v>
      </c>
      <c r="E408" s="85"/>
      <c r="F408" s="87">
        <v>43478</v>
      </c>
      <c r="G408" s="167">
        <v>10906.95</v>
      </c>
      <c r="H408" s="58">
        <f t="shared" si="13"/>
        <v>1.0375221747205954E-2</v>
      </c>
    </row>
    <row r="409" spans="2:8" x14ac:dyDescent="0.45">
      <c r="B409" s="87">
        <v>43471</v>
      </c>
      <c r="C409" s="167">
        <v>1761.87</v>
      </c>
      <c r="D409" s="59">
        <f t="shared" si="12"/>
        <v>-6.8992339821093429E-3</v>
      </c>
      <c r="E409" s="85"/>
      <c r="F409" s="87">
        <v>43471</v>
      </c>
      <c r="G409" s="167">
        <v>10794.95</v>
      </c>
      <c r="H409" s="58">
        <f t="shared" si="13"/>
        <v>6.3016495220162838E-3</v>
      </c>
    </row>
    <row r="410" spans="2:8" x14ac:dyDescent="0.45">
      <c r="B410" s="87">
        <v>43464</v>
      </c>
      <c r="C410" s="167">
        <v>1774.11</v>
      </c>
      <c r="D410" s="59">
        <f t="shared" si="12"/>
        <v>-2.2146404378572404E-2</v>
      </c>
      <c r="E410" s="85"/>
      <c r="F410" s="87">
        <v>43464</v>
      </c>
      <c r="G410" s="167">
        <v>10727.35</v>
      </c>
      <c r="H410" s="58">
        <f t="shared" si="13"/>
        <v>-1.2205453088886542E-2</v>
      </c>
    </row>
    <row r="411" spans="2:8" x14ac:dyDescent="0.45">
      <c r="B411" s="87">
        <v>43457</v>
      </c>
      <c r="C411" s="167">
        <v>1814.29</v>
      </c>
      <c r="D411" s="59">
        <f t="shared" si="12"/>
        <v>1.0284995155416476E-2</v>
      </c>
      <c r="E411" s="85"/>
      <c r="F411" s="87">
        <v>43457</v>
      </c>
      <c r="G411" s="167">
        <v>10859.9</v>
      </c>
      <c r="H411" s="58">
        <f t="shared" si="13"/>
        <v>9.8474986051702018E-3</v>
      </c>
    </row>
    <row r="412" spans="2:8" x14ac:dyDescent="0.45">
      <c r="B412" s="87">
        <v>43450</v>
      </c>
      <c r="C412" s="167">
        <v>1795.82</v>
      </c>
      <c r="D412" s="59">
        <f t="shared" si="12"/>
        <v>-3.0664514770893381E-2</v>
      </c>
      <c r="E412" s="85"/>
      <c r="F412" s="87">
        <v>43450</v>
      </c>
      <c r="G412" s="167">
        <v>10754</v>
      </c>
      <c r="H412" s="58">
        <f t="shared" si="13"/>
        <v>-4.7614861019208421E-3</v>
      </c>
    </row>
    <row r="413" spans="2:8" x14ac:dyDescent="0.45">
      <c r="B413" s="87">
        <v>43443</v>
      </c>
      <c r="C413" s="167">
        <v>1852.63</v>
      </c>
      <c r="D413" s="59">
        <f t="shared" si="12"/>
        <v>1.9873054670167978E-2</v>
      </c>
      <c r="E413" s="85"/>
      <c r="F413" s="87">
        <v>43443</v>
      </c>
      <c r="G413" s="167">
        <v>10805.45</v>
      </c>
      <c r="H413" s="58">
        <f t="shared" si="13"/>
        <v>1.0450078083357406E-2</v>
      </c>
    </row>
    <row r="414" spans="2:8" x14ac:dyDescent="0.45">
      <c r="B414" s="87">
        <v>43436</v>
      </c>
      <c r="C414" s="167">
        <v>1816.53</v>
      </c>
      <c r="D414" s="59">
        <f t="shared" si="12"/>
        <v>4.0079471867073613E-2</v>
      </c>
      <c r="E414" s="85"/>
      <c r="F414" s="87">
        <v>43436</v>
      </c>
      <c r="G414" s="167">
        <v>10693.7</v>
      </c>
      <c r="H414" s="58">
        <f t="shared" si="13"/>
        <v>-1.6829475716551245E-2</v>
      </c>
    </row>
    <row r="415" spans="2:8" x14ac:dyDescent="0.45">
      <c r="B415" s="87">
        <v>43429</v>
      </c>
      <c r="C415" s="167">
        <v>1746.53</v>
      </c>
      <c r="D415" s="59">
        <f t="shared" si="12"/>
        <v>4.7099168450271955E-2</v>
      </c>
      <c r="E415" s="85"/>
      <c r="F415" s="87">
        <v>43429</v>
      </c>
      <c r="G415" s="167">
        <v>10876.75</v>
      </c>
      <c r="H415" s="58">
        <f t="shared" si="13"/>
        <v>3.3248628494074728E-2</v>
      </c>
    </row>
    <row r="416" spans="2:8" x14ac:dyDescent="0.45">
      <c r="B416" s="87">
        <v>43422</v>
      </c>
      <c r="C416" s="167">
        <v>1667.97</v>
      </c>
      <c r="D416" s="59">
        <f t="shared" si="12"/>
        <v>-8.2881961579395202E-3</v>
      </c>
      <c r="E416" s="85"/>
      <c r="F416" s="87">
        <v>43422</v>
      </c>
      <c r="G416" s="167">
        <v>10526.75</v>
      </c>
      <c r="H416" s="58">
        <f t="shared" si="13"/>
        <v>-1.4552245792065377E-2</v>
      </c>
    </row>
    <row r="417" spans="2:8" x14ac:dyDescent="0.45">
      <c r="B417" s="87">
        <v>43415</v>
      </c>
      <c r="C417" s="167">
        <v>1681.91</v>
      </c>
      <c r="D417" s="59">
        <f t="shared" si="12"/>
        <v>9.865023897014602E-3</v>
      </c>
      <c r="E417" s="85"/>
      <c r="F417" s="87">
        <v>43415</v>
      </c>
      <c r="G417" s="167">
        <v>10682.2</v>
      </c>
      <c r="H417" s="58">
        <f t="shared" si="13"/>
        <v>9.1637380493518883E-3</v>
      </c>
    </row>
    <row r="418" spans="2:8" x14ac:dyDescent="0.45">
      <c r="B418" s="87">
        <v>43408</v>
      </c>
      <c r="C418" s="167">
        <v>1665.48</v>
      </c>
      <c r="D418" s="59">
        <f t="shared" si="12"/>
        <v>2.0846230699920865E-2</v>
      </c>
      <c r="E418" s="85"/>
      <c r="F418" s="87">
        <v>43408</v>
      </c>
      <c r="G418" s="167">
        <v>10585.2</v>
      </c>
      <c r="H418" s="58">
        <f t="shared" si="13"/>
        <v>3.0512650431158139E-3</v>
      </c>
    </row>
    <row r="419" spans="2:8" x14ac:dyDescent="0.45">
      <c r="B419" s="87">
        <v>43401</v>
      </c>
      <c r="C419" s="167">
        <v>1631.47</v>
      </c>
      <c r="D419" s="59">
        <f t="shared" si="12"/>
        <v>5.1469119172988131E-2</v>
      </c>
      <c r="E419" s="85"/>
      <c r="F419" s="87">
        <v>43401</v>
      </c>
      <c r="G419" s="167">
        <v>10553</v>
      </c>
      <c r="H419" s="58">
        <f t="shared" si="13"/>
        <v>5.2143569292123715E-2</v>
      </c>
    </row>
    <row r="420" spans="2:8" x14ac:dyDescent="0.45">
      <c r="B420" s="87">
        <v>43394</v>
      </c>
      <c r="C420" s="167">
        <v>1551.61</v>
      </c>
      <c r="D420" s="59">
        <f t="shared" si="12"/>
        <v>-1.2769775017815399E-2</v>
      </c>
      <c r="E420" s="85"/>
      <c r="F420" s="87">
        <v>43394</v>
      </c>
      <c r="G420" s="167">
        <v>10030</v>
      </c>
      <c r="H420" s="58">
        <f t="shared" si="13"/>
        <v>-2.6549102008531E-2</v>
      </c>
    </row>
    <row r="421" spans="2:8" x14ac:dyDescent="0.45">
      <c r="B421" s="87">
        <v>43387</v>
      </c>
      <c r="C421" s="167">
        <v>1571.68</v>
      </c>
      <c r="D421" s="59">
        <f t="shared" si="12"/>
        <v>5.6048934046528665E-3</v>
      </c>
      <c r="E421" s="85"/>
      <c r="F421" s="87">
        <v>43387</v>
      </c>
      <c r="G421" s="167">
        <v>10303.549999999999</v>
      </c>
      <c r="H421" s="58">
        <f t="shared" si="13"/>
        <v>-1.6132728574838939E-2</v>
      </c>
    </row>
    <row r="422" spans="2:8" x14ac:dyDescent="0.45">
      <c r="B422" s="87">
        <v>43380</v>
      </c>
      <c r="C422" s="167">
        <v>1562.92</v>
      </c>
      <c r="D422" s="59">
        <f t="shared" si="12"/>
        <v>7.0944835718567134E-3</v>
      </c>
      <c r="E422" s="85"/>
      <c r="F422" s="87">
        <v>43380</v>
      </c>
      <c r="G422" s="167">
        <v>10472.5</v>
      </c>
      <c r="H422" s="58">
        <f t="shared" si="13"/>
        <v>1.5126327370364789E-2</v>
      </c>
    </row>
    <row r="423" spans="2:8" x14ac:dyDescent="0.45">
      <c r="B423" s="87">
        <v>43373</v>
      </c>
      <c r="C423" s="167">
        <v>1551.91</v>
      </c>
      <c r="D423" s="59">
        <f t="shared" si="12"/>
        <v>-3.0994973619306254E-2</v>
      </c>
      <c r="E423" s="85"/>
      <c r="F423" s="87">
        <v>43373</v>
      </c>
      <c r="G423" s="167">
        <v>10316.450000000001</v>
      </c>
      <c r="H423" s="58">
        <f t="shared" si="13"/>
        <v>-5.6173350593982874E-2</v>
      </c>
    </row>
    <row r="424" spans="2:8" x14ac:dyDescent="0.45">
      <c r="B424" s="87">
        <v>43366</v>
      </c>
      <c r="C424" s="167">
        <v>1601.55</v>
      </c>
      <c r="D424" s="59">
        <f t="shared" si="12"/>
        <v>-7.9596134786918959E-3</v>
      </c>
      <c r="E424" s="85"/>
      <c r="F424" s="87">
        <v>43366</v>
      </c>
      <c r="G424" s="167">
        <v>10930.45</v>
      </c>
      <c r="H424" s="58">
        <f t="shared" si="13"/>
        <v>-1.908355843526488E-2</v>
      </c>
    </row>
    <row r="425" spans="2:8" x14ac:dyDescent="0.45">
      <c r="B425" s="87">
        <v>43359</v>
      </c>
      <c r="C425" s="167">
        <v>1614.4</v>
      </c>
      <c r="D425" s="59">
        <f t="shared" si="12"/>
        <v>-4.9064326043540829E-3</v>
      </c>
      <c r="E425" s="85"/>
      <c r="F425" s="87">
        <v>43359</v>
      </c>
      <c r="G425" s="167">
        <v>11143.1</v>
      </c>
      <c r="H425" s="58">
        <f t="shared" si="13"/>
        <v>-3.2313811310268226E-2</v>
      </c>
    </row>
    <row r="426" spans="2:8" x14ac:dyDescent="0.45">
      <c r="B426" s="87">
        <v>43352</v>
      </c>
      <c r="C426" s="167">
        <v>1622.36</v>
      </c>
      <c r="D426" s="59">
        <f t="shared" si="12"/>
        <v>-5.7667440877084974E-3</v>
      </c>
      <c r="E426" s="85"/>
      <c r="F426" s="87">
        <v>43352</v>
      </c>
      <c r="G426" s="167">
        <v>11515.2</v>
      </c>
      <c r="H426" s="58">
        <f t="shared" si="13"/>
        <v>-6.3766815369614704E-3</v>
      </c>
    </row>
    <row r="427" spans="2:8" x14ac:dyDescent="0.45">
      <c r="B427" s="87">
        <v>43345</v>
      </c>
      <c r="C427" s="167">
        <v>1631.77</v>
      </c>
      <c r="D427" s="59">
        <f t="shared" si="12"/>
        <v>-7.9406720375510553E-2</v>
      </c>
      <c r="E427" s="85"/>
      <c r="F427" s="87">
        <v>43345</v>
      </c>
      <c r="G427" s="167">
        <v>11589.1</v>
      </c>
      <c r="H427" s="58">
        <f t="shared" si="13"/>
        <v>-7.825007491117697E-3</v>
      </c>
    </row>
    <row r="428" spans="2:8" x14ac:dyDescent="0.45">
      <c r="B428" s="87">
        <v>43338</v>
      </c>
      <c r="C428" s="167">
        <v>1772.52</v>
      </c>
      <c r="D428" s="59">
        <f t="shared" si="12"/>
        <v>-4.7931339765527881E-4</v>
      </c>
      <c r="E428" s="85"/>
      <c r="F428" s="87">
        <v>43338</v>
      </c>
      <c r="G428" s="167">
        <v>11680.5</v>
      </c>
      <c r="H428" s="58">
        <f t="shared" si="13"/>
        <v>1.067741907571973E-2</v>
      </c>
    </row>
    <row r="429" spans="2:8" x14ac:dyDescent="0.45">
      <c r="B429" s="87">
        <v>43331</v>
      </c>
      <c r="C429" s="167">
        <v>1773.37</v>
      </c>
      <c r="D429" s="59">
        <f t="shared" si="12"/>
        <v>-2.1270010972626041E-3</v>
      </c>
      <c r="E429" s="85"/>
      <c r="F429" s="87">
        <v>43331</v>
      </c>
      <c r="G429" s="167">
        <v>11557.1</v>
      </c>
      <c r="H429" s="58">
        <f t="shared" si="13"/>
        <v>7.527842556066533E-3</v>
      </c>
    </row>
    <row r="430" spans="2:8" x14ac:dyDescent="0.45">
      <c r="B430" s="87">
        <v>43324</v>
      </c>
      <c r="C430" s="167">
        <v>1777.15</v>
      </c>
      <c r="D430" s="59">
        <f t="shared" si="12"/>
        <v>1.8284018243909239E-2</v>
      </c>
      <c r="E430" s="85"/>
      <c r="F430" s="87">
        <v>43324</v>
      </c>
      <c r="G430" s="167">
        <v>11470.75</v>
      </c>
      <c r="H430" s="58">
        <f t="shared" si="13"/>
        <v>3.6090817621068361E-3</v>
      </c>
    </row>
    <row r="431" spans="2:8" x14ac:dyDescent="0.45">
      <c r="B431" s="87">
        <v>43317</v>
      </c>
      <c r="C431" s="167">
        <v>1745.24</v>
      </c>
      <c r="D431" s="59">
        <f t="shared" si="12"/>
        <v>-5.838825627032862E-3</v>
      </c>
      <c r="E431" s="85"/>
      <c r="F431" s="87">
        <v>43317</v>
      </c>
      <c r="G431" s="167">
        <v>11429.5</v>
      </c>
      <c r="H431" s="58">
        <f t="shared" si="13"/>
        <v>6.0471093584959501E-3</v>
      </c>
    </row>
    <row r="432" spans="2:8" x14ac:dyDescent="0.45">
      <c r="B432" s="87">
        <v>43310</v>
      </c>
      <c r="C432" s="167">
        <v>1755.49</v>
      </c>
      <c r="D432" s="59">
        <f t="shared" si="12"/>
        <v>6.2683874716999322E-2</v>
      </c>
      <c r="E432" s="85"/>
      <c r="F432" s="87">
        <v>43310</v>
      </c>
      <c r="G432" s="167">
        <v>11360.8</v>
      </c>
      <c r="H432" s="58">
        <f t="shared" si="13"/>
        <v>7.3104665132752711E-3</v>
      </c>
    </row>
    <row r="433" spans="2:8" x14ac:dyDescent="0.45">
      <c r="B433" s="87">
        <v>43303</v>
      </c>
      <c r="C433" s="167">
        <v>1651.94</v>
      </c>
      <c r="D433" s="59">
        <f t="shared" si="12"/>
        <v>1.9044153323630741E-3</v>
      </c>
      <c r="E433" s="85"/>
      <c r="F433" s="87">
        <v>43303</v>
      </c>
      <c r="G433" s="167">
        <v>11278.35</v>
      </c>
      <c r="H433" s="58">
        <f t="shared" si="13"/>
        <v>2.4354689288114573E-2</v>
      </c>
    </row>
    <row r="434" spans="2:8" x14ac:dyDescent="0.45">
      <c r="B434" s="87">
        <v>43296</v>
      </c>
      <c r="C434" s="167">
        <v>1648.8</v>
      </c>
      <c r="D434" s="59">
        <f t="shared" si="12"/>
        <v>-4.9808959042893508E-2</v>
      </c>
      <c r="E434" s="85"/>
      <c r="F434" s="87">
        <v>43296</v>
      </c>
      <c r="G434" s="167">
        <v>11010.2</v>
      </c>
      <c r="H434" s="58">
        <f t="shared" si="13"/>
        <v>-7.8955249616563528E-4</v>
      </c>
    </row>
    <row r="435" spans="2:8" x14ac:dyDescent="0.45">
      <c r="B435" s="87">
        <v>43289</v>
      </c>
      <c r="C435" s="167">
        <v>1735.23</v>
      </c>
      <c r="D435" s="59">
        <f t="shared" si="12"/>
        <v>3.8344852347186098E-2</v>
      </c>
      <c r="E435" s="85"/>
      <c r="F435" s="87">
        <v>43289</v>
      </c>
      <c r="G435" s="167">
        <v>11018.9</v>
      </c>
      <c r="H435" s="58">
        <f t="shared" si="13"/>
        <v>2.2858813755204155E-2</v>
      </c>
    </row>
    <row r="436" spans="2:8" x14ac:dyDescent="0.45">
      <c r="B436" s="87">
        <v>43282</v>
      </c>
      <c r="C436" s="167">
        <v>1671.15</v>
      </c>
      <c r="D436" s="59">
        <f t="shared" si="12"/>
        <v>2.263548244969904E-2</v>
      </c>
      <c r="E436" s="85"/>
      <c r="F436" s="87">
        <v>43282</v>
      </c>
      <c r="G436" s="167">
        <v>10772.65</v>
      </c>
      <c r="H436" s="58">
        <f t="shared" si="13"/>
        <v>5.4459927386762974E-3</v>
      </c>
    </row>
    <row r="437" spans="2:8" x14ac:dyDescent="0.45">
      <c r="B437" s="87">
        <v>43275</v>
      </c>
      <c r="C437" s="167">
        <v>1634.16</v>
      </c>
      <c r="D437" s="59">
        <f t="shared" si="12"/>
        <v>2.0552693208431005E-2</v>
      </c>
      <c r="E437" s="85"/>
      <c r="F437" s="87">
        <v>43275</v>
      </c>
      <c r="G437" s="167">
        <v>10714.3</v>
      </c>
      <c r="H437" s="58">
        <f t="shared" si="13"/>
        <v>-9.938226828130281E-3</v>
      </c>
    </row>
    <row r="438" spans="2:8" x14ac:dyDescent="0.45">
      <c r="B438" s="87">
        <v>43268</v>
      </c>
      <c r="C438" s="167">
        <v>1601.25</v>
      </c>
      <c r="D438" s="59">
        <f t="shared" si="12"/>
        <v>-8.1454410307235658E-3</v>
      </c>
      <c r="E438" s="85"/>
      <c r="F438" s="87">
        <v>43268</v>
      </c>
      <c r="G438" s="167">
        <v>10821.85</v>
      </c>
      <c r="H438" s="58">
        <f t="shared" si="13"/>
        <v>3.8363053144374604E-4</v>
      </c>
    </row>
    <row r="439" spans="2:8" x14ac:dyDescent="0.45">
      <c r="B439" s="87">
        <v>43261</v>
      </c>
      <c r="C439" s="167">
        <v>1614.4</v>
      </c>
      <c r="D439" s="59">
        <f t="shared" si="12"/>
        <v>1.6106394093692966E-2</v>
      </c>
      <c r="E439" s="85"/>
      <c r="F439" s="87">
        <v>43261</v>
      </c>
      <c r="G439" s="167">
        <v>10817.7</v>
      </c>
      <c r="H439" s="58">
        <f t="shared" si="13"/>
        <v>4.6481822867572298E-3</v>
      </c>
    </row>
    <row r="440" spans="2:8" x14ac:dyDescent="0.45">
      <c r="B440" s="87">
        <v>43254</v>
      </c>
      <c r="C440" s="167">
        <v>1588.81</v>
      </c>
      <c r="D440" s="59">
        <f t="shared" si="12"/>
        <v>4.2538936084142165E-3</v>
      </c>
      <c r="E440" s="85"/>
      <c r="F440" s="87">
        <v>43254</v>
      </c>
      <c r="G440" s="167">
        <v>10767.65</v>
      </c>
      <c r="H440" s="58">
        <f t="shared" si="13"/>
        <v>6.6799424094536874E-3</v>
      </c>
    </row>
    <row r="441" spans="2:8" x14ac:dyDescent="0.45">
      <c r="B441" s="87">
        <v>43247</v>
      </c>
      <c r="C441" s="167">
        <v>1582.08</v>
      </c>
      <c r="D441" s="59">
        <f t="shared" si="12"/>
        <v>8.3108142558507847E-3</v>
      </c>
      <c r="E441" s="85"/>
      <c r="F441" s="87">
        <v>43247</v>
      </c>
      <c r="G441" s="167">
        <v>10696.2</v>
      </c>
      <c r="H441" s="58">
        <f t="shared" si="13"/>
        <v>8.5854514080423439E-3</v>
      </c>
    </row>
    <row r="442" spans="2:8" x14ac:dyDescent="0.45">
      <c r="B442" s="87">
        <v>43240</v>
      </c>
      <c r="C442" s="167">
        <v>1569.04</v>
      </c>
      <c r="D442" s="59">
        <f t="shared" si="12"/>
        <v>-1.8712162905888841E-2</v>
      </c>
      <c r="E442" s="85"/>
      <c r="F442" s="87">
        <v>43240</v>
      </c>
      <c r="G442" s="167">
        <v>10605.15</v>
      </c>
      <c r="H442" s="58">
        <f t="shared" si="13"/>
        <v>8.2575214223701288E-4</v>
      </c>
    </row>
    <row r="443" spans="2:8" x14ac:dyDescent="0.45">
      <c r="B443" s="87">
        <v>43233</v>
      </c>
      <c r="C443" s="167">
        <v>1598.96</v>
      </c>
      <c r="D443" s="59">
        <f t="shared" si="12"/>
        <v>6.7610335848300673E-2</v>
      </c>
      <c r="E443" s="85"/>
      <c r="F443" s="87">
        <v>43233</v>
      </c>
      <c r="G443" s="167">
        <v>10596.4</v>
      </c>
      <c r="H443" s="58">
        <f t="shared" si="13"/>
        <v>-1.9442002498496258E-2</v>
      </c>
    </row>
    <row r="444" spans="2:8" x14ac:dyDescent="0.45">
      <c r="B444" s="87">
        <v>43226</v>
      </c>
      <c r="C444" s="167">
        <v>1497.7</v>
      </c>
      <c r="D444" s="59">
        <f t="shared" si="12"/>
        <v>2.7257263573760682E-2</v>
      </c>
      <c r="E444" s="85"/>
      <c r="F444" s="87">
        <v>43226</v>
      </c>
      <c r="G444" s="167">
        <v>10806.5</v>
      </c>
      <c r="H444" s="58">
        <f t="shared" si="13"/>
        <v>1.7728910131142195E-2</v>
      </c>
    </row>
    <row r="445" spans="2:8" x14ac:dyDescent="0.45">
      <c r="B445" s="87">
        <v>43219</v>
      </c>
      <c r="C445" s="167">
        <v>1457.96</v>
      </c>
      <c r="D445" s="59">
        <f t="shared" si="12"/>
        <v>-6.615928648810776E-3</v>
      </c>
      <c r="E445" s="85"/>
      <c r="F445" s="87">
        <v>43219</v>
      </c>
      <c r="G445" s="167">
        <v>10618.25</v>
      </c>
      <c r="H445" s="58">
        <f t="shared" si="13"/>
        <v>-6.9255445507514501E-3</v>
      </c>
    </row>
    <row r="446" spans="2:8" x14ac:dyDescent="0.45">
      <c r="B446" s="87">
        <v>43212</v>
      </c>
      <c r="C446" s="167">
        <v>1467.67</v>
      </c>
      <c r="D446" s="59">
        <f t="shared" si="12"/>
        <v>4.1873353631418642E-3</v>
      </c>
      <c r="E446" s="85"/>
      <c r="F446" s="87">
        <v>43212</v>
      </c>
      <c r="G446" s="167">
        <v>10692.3</v>
      </c>
      <c r="H446" s="58">
        <f t="shared" si="13"/>
        <v>1.2140230309398481E-2</v>
      </c>
    </row>
    <row r="447" spans="2:8" x14ac:dyDescent="0.45">
      <c r="B447" s="87">
        <v>43205</v>
      </c>
      <c r="C447" s="167">
        <v>1461.55</v>
      </c>
      <c r="D447" s="59">
        <f t="shared" si="12"/>
        <v>4.0589801643242662E-2</v>
      </c>
      <c r="E447" s="85"/>
      <c r="F447" s="87">
        <v>43205</v>
      </c>
      <c r="G447" s="167">
        <v>10564.05</v>
      </c>
      <c r="H447" s="58">
        <f t="shared" si="13"/>
        <v>7.9623304009310836E-3</v>
      </c>
    </row>
    <row r="448" spans="2:8" x14ac:dyDescent="0.45">
      <c r="B448" s="87">
        <v>43198</v>
      </c>
      <c r="C448" s="167">
        <v>1404.54</v>
      </c>
      <c r="D448" s="59">
        <f t="shared" si="12"/>
        <v>2.5998027685452341E-2</v>
      </c>
      <c r="E448" s="85"/>
      <c r="F448" s="87">
        <v>43198</v>
      </c>
      <c r="G448" s="167">
        <v>10480.6</v>
      </c>
      <c r="H448" s="58">
        <f t="shared" si="13"/>
        <v>1.4421773974989449E-2</v>
      </c>
    </row>
    <row r="449" spans="2:8" x14ac:dyDescent="0.45">
      <c r="B449" s="87">
        <v>43191</v>
      </c>
      <c r="C449" s="167">
        <v>1368.95</v>
      </c>
      <c r="D449" s="59">
        <f t="shared" si="12"/>
        <v>3.1092063539885695E-2</v>
      </c>
      <c r="E449" s="85"/>
      <c r="F449" s="87">
        <v>43191</v>
      </c>
      <c r="G449" s="167">
        <v>10331.6</v>
      </c>
      <c r="H449" s="58">
        <f t="shared" si="13"/>
        <v>2.1545032975073486E-2</v>
      </c>
    </row>
    <row r="450" spans="2:8" x14ac:dyDescent="0.45">
      <c r="B450" s="87">
        <v>43184</v>
      </c>
      <c r="C450" s="167">
        <v>1327.67</v>
      </c>
      <c r="D450" s="59">
        <f t="shared" si="12"/>
        <v>2.4349785126262624E-2</v>
      </c>
      <c r="E450" s="85"/>
      <c r="F450" s="87">
        <v>43184</v>
      </c>
      <c r="G450" s="167">
        <v>10113.700000000001</v>
      </c>
      <c r="H450" s="58">
        <f t="shared" si="13"/>
        <v>1.1567255614844951E-2</v>
      </c>
    </row>
    <row r="451" spans="2:8" x14ac:dyDescent="0.45">
      <c r="B451" s="87">
        <v>43177</v>
      </c>
      <c r="C451" s="167">
        <v>1296.1099999999999</v>
      </c>
      <c r="D451" s="59">
        <f t="shared" si="12"/>
        <v>1.9248310941388791E-3</v>
      </c>
      <c r="E451" s="85"/>
      <c r="F451" s="87">
        <v>43177</v>
      </c>
      <c r="G451" s="167">
        <v>9998.0499999999993</v>
      </c>
      <c r="H451" s="58">
        <f t="shared" si="13"/>
        <v>-1.9332721931506702E-2</v>
      </c>
    </row>
    <row r="452" spans="2:8" x14ac:dyDescent="0.45">
      <c r="B452" s="87">
        <v>43170</v>
      </c>
      <c r="C452" s="167">
        <v>1293.6199999999999</v>
      </c>
      <c r="D452" s="59">
        <f t="shared" ref="D452:D515" si="14">IFERROR((C452/C453)-1,0)</f>
        <v>-1.2276001575035611E-3</v>
      </c>
      <c r="E452" s="85"/>
      <c r="F452" s="87">
        <v>43170</v>
      </c>
      <c r="G452" s="167">
        <v>10195.15</v>
      </c>
      <c r="H452" s="58">
        <f t="shared" ref="H452:H515" si="15">IFERROR((G452/G453)-1,0)</f>
        <v>-3.0996836758142576E-3</v>
      </c>
    </row>
    <row r="453" spans="2:8" x14ac:dyDescent="0.45">
      <c r="B453" s="87">
        <v>43163</v>
      </c>
      <c r="C453" s="167">
        <v>1295.21</v>
      </c>
      <c r="D453" s="59">
        <f t="shared" si="14"/>
        <v>-1.774595976065696E-2</v>
      </c>
      <c r="E453" s="85"/>
      <c r="F453" s="87">
        <v>43163</v>
      </c>
      <c r="G453" s="167">
        <v>10226.85</v>
      </c>
      <c r="H453" s="58">
        <f t="shared" si="15"/>
        <v>-2.2135422891756296E-2</v>
      </c>
    </row>
    <row r="454" spans="2:8" x14ac:dyDescent="0.45">
      <c r="B454" s="87">
        <v>43156</v>
      </c>
      <c r="C454" s="167">
        <v>1318.61</v>
      </c>
      <c r="D454" s="59">
        <f t="shared" si="14"/>
        <v>8.273119193635825E-4</v>
      </c>
      <c r="E454" s="85"/>
      <c r="F454" s="87">
        <v>43156</v>
      </c>
      <c r="G454" s="167">
        <v>10458.35</v>
      </c>
      <c r="H454" s="58">
        <f t="shared" si="15"/>
        <v>-3.1169425367335579E-3</v>
      </c>
    </row>
    <row r="455" spans="2:8" x14ac:dyDescent="0.45">
      <c r="B455" s="87">
        <v>43149</v>
      </c>
      <c r="C455" s="167">
        <v>1317.52</v>
      </c>
      <c r="D455" s="59">
        <f t="shared" si="14"/>
        <v>-2.1406182687879638E-2</v>
      </c>
      <c r="E455" s="85"/>
      <c r="F455" s="87">
        <v>43149</v>
      </c>
      <c r="G455" s="167">
        <v>10491.05</v>
      </c>
      <c r="H455" s="58">
        <f t="shared" si="15"/>
        <v>3.7073180065632094E-3</v>
      </c>
    </row>
    <row r="456" spans="2:8" x14ac:dyDescent="0.45">
      <c r="B456" s="87">
        <v>43142</v>
      </c>
      <c r="C456" s="167">
        <v>1346.34</v>
      </c>
      <c r="D456" s="59">
        <f t="shared" si="14"/>
        <v>1.4291418368653774E-2</v>
      </c>
      <c r="E456" s="85"/>
      <c r="F456" s="87">
        <v>43142</v>
      </c>
      <c r="G456" s="167">
        <v>10452.299999999999</v>
      </c>
      <c r="H456" s="58">
        <f t="shared" si="15"/>
        <v>-2.5346845274265561E-4</v>
      </c>
    </row>
    <row r="457" spans="2:8" x14ac:dyDescent="0.45">
      <c r="B457" s="87">
        <v>43135</v>
      </c>
      <c r="C457" s="167">
        <v>1327.37</v>
      </c>
      <c r="D457" s="59">
        <f t="shared" si="14"/>
        <v>-2.8535671418952524E-2</v>
      </c>
      <c r="E457" s="85"/>
      <c r="F457" s="87">
        <v>43135</v>
      </c>
      <c r="G457" s="167">
        <v>10454.950000000001</v>
      </c>
      <c r="H457" s="58">
        <f t="shared" si="15"/>
        <v>-2.8404549932159906E-2</v>
      </c>
    </row>
    <row r="458" spans="2:8" x14ac:dyDescent="0.45">
      <c r="B458" s="87">
        <v>43128</v>
      </c>
      <c r="C458" s="167">
        <v>1366.36</v>
      </c>
      <c r="D458" s="59">
        <f t="shared" si="14"/>
        <v>-4.0236738336840716E-4</v>
      </c>
      <c r="E458" s="85"/>
      <c r="F458" s="87">
        <v>43128</v>
      </c>
      <c r="G458" s="167">
        <v>10760.6</v>
      </c>
      <c r="H458" s="58">
        <f t="shared" si="15"/>
        <v>-2.7918678549005538E-2</v>
      </c>
    </row>
    <row r="459" spans="2:8" x14ac:dyDescent="0.45">
      <c r="B459" s="87">
        <v>43121</v>
      </c>
      <c r="C459" s="167">
        <v>1366.91</v>
      </c>
      <c r="D459" s="59">
        <f t="shared" si="14"/>
        <v>7.5627464710867898E-3</v>
      </c>
      <c r="E459" s="85"/>
      <c r="F459" s="87">
        <v>43121</v>
      </c>
      <c r="G459" s="167">
        <v>11069.65</v>
      </c>
      <c r="H459" s="58">
        <f t="shared" si="15"/>
        <v>1.6058266863704374E-2</v>
      </c>
    </row>
    <row r="460" spans="2:8" x14ac:dyDescent="0.45">
      <c r="B460" s="87">
        <v>43114</v>
      </c>
      <c r="C460" s="167">
        <v>1356.65</v>
      </c>
      <c r="D460" s="59">
        <f t="shared" si="14"/>
        <v>-8.4055110916200215E-3</v>
      </c>
      <c r="E460" s="85"/>
      <c r="F460" s="87">
        <v>43114</v>
      </c>
      <c r="G460" s="167">
        <v>10894.7</v>
      </c>
      <c r="H460" s="58">
        <f t="shared" si="15"/>
        <v>1.9983616149795269E-2</v>
      </c>
    </row>
    <row r="461" spans="2:8" x14ac:dyDescent="0.45">
      <c r="B461" s="87">
        <v>43107</v>
      </c>
      <c r="C461" s="167">
        <v>1368.15</v>
      </c>
      <c r="D461" s="59">
        <f t="shared" si="14"/>
        <v>1.2866735269513097E-2</v>
      </c>
      <c r="E461" s="85"/>
      <c r="F461" s="87">
        <v>43107</v>
      </c>
      <c r="G461" s="167">
        <v>10681.25</v>
      </c>
      <c r="H461" s="58">
        <f t="shared" si="15"/>
        <v>1.1592171495948822E-2</v>
      </c>
    </row>
    <row r="462" spans="2:8" x14ac:dyDescent="0.45">
      <c r="B462" s="87">
        <v>43100</v>
      </c>
      <c r="C462" s="167">
        <v>1350.77</v>
      </c>
      <c r="D462" s="59">
        <f t="shared" si="14"/>
        <v>-8.2670719440834928E-3</v>
      </c>
      <c r="E462" s="85"/>
      <c r="F462" s="87">
        <v>43100</v>
      </c>
      <c r="G462" s="167">
        <v>10558.85</v>
      </c>
      <c r="H462" s="58">
        <f t="shared" si="15"/>
        <v>2.6731366385899236E-3</v>
      </c>
    </row>
    <row r="463" spans="2:8" x14ac:dyDescent="0.45">
      <c r="B463" s="87">
        <v>43093</v>
      </c>
      <c r="C463" s="167">
        <v>1362.03</v>
      </c>
      <c r="D463" s="59">
        <f t="shared" si="14"/>
        <v>8.373312011371592E-3</v>
      </c>
      <c r="E463" s="85"/>
      <c r="F463" s="87">
        <v>43093</v>
      </c>
      <c r="G463" s="167">
        <v>10530.7</v>
      </c>
      <c r="H463" s="58">
        <f t="shared" si="15"/>
        <v>3.5928714381017191E-3</v>
      </c>
    </row>
    <row r="464" spans="2:8" x14ac:dyDescent="0.45">
      <c r="B464" s="87">
        <v>43086</v>
      </c>
      <c r="C464" s="167">
        <v>1350.72</v>
      </c>
      <c r="D464" s="59">
        <f t="shared" si="14"/>
        <v>2.4118400800661188E-2</v>
      </c>
      <c r="E464" s="85"/>
      <c r="F464" s="87">
        <v>43086</v>
      </c>
      <c r="G464" s="167">
        <v>10493</v>
      </c>
      <c r="H464" s="58">
        <f t="shared" si="15"/>
        <v>1.5459802095178166E-2</v>
      </c>
    </row>
    <row r="465" spans="2:8" x14ac:dyDescent="0.45">
      <c r="B465" s="87">
        <v>43079</v>
      </c>
      <c r="C465" s="167">
        <v>1318.91</v>
      </c>
      <c r="D465" s="59">
        <f t="shared" si="14"/>
        <v>-1.582134746404229E-3</v>
      </c>
      <c r="E465" s="85"/>
      <c r="F465" s="87">
        <v>43079</v>
      </c>
      <c r="G465" s="167">
        <v>10333.25</v>
      </c>
      <c r="H465" s="58">
        <f t="shared" si="15"/>
        <v>6.5850676771563865E-3</v>
      </c>
    </row>
    <row r="466" spans="2:8" x14ac:dyDescent="0.45">
      <c r="B466" s="87">
        <v>43072</v>
      </c>
      <c r="C466" s="167">
        <v>1321</v>
      </c>
      <c r="D466" s="59">
        <f t="shared" si="14"/>
        <v>6.0890794905154255E-2</v>
      </c>
      <c r="E466" s="85"/>
      <c r="F466" s="87">
        <v>43072</v>
      </c>
      <c r="G466" s="167">
        <v>10265.65</v>
      </c>
      <c r="H466" s="58">
        <f t="shared" si="15"/>
        <v>1.4211899069335621E-2</v>
      </c>
    </row>
    <row r="467" spans="2:8" x14ac:dyDescent="0.45">
      <c r="B467" s="87">
        <v>43065</v>
      </c>
      <c r="C467" s="167">
        <v>1245.18</v>
      </c>
      <c r="D467" s="59">
        <f t="shared" si="14"/>
        <v>-1.2200926572316972E-2</v>
      </c>
      <c r="E467" s="85"/>
      <c r="F467" s="87">
        <v>43065</v>
      </c>
      <c r="G467" s="167">
        <v>10121.799999999999</v>
      </c>
      <c r="H467" s="58">
        <f t="shared" si="15"/>
        <v>-2.5785152603058914E-2</v>
      </c>
    </row>
    <row r="468" spans="2:8" x14ac:dyDescent="0.45">
      <c r="B468" s="87">
        <v>43058</v>
      </c>
      <c r="C468" s="167">
        <v>1260.56</v>
      </c>
      <c r="D468" s="59">
        <f t="shared" si="14"/>
        <v>-9.5465581318604498E-3</v>
      </c>
      <c r="E468" s="85"/>
      <c r="F468" s="87">
        <v>43058</v>
      </c>
      <c r="G468" s="167">
        <v>10389.700000000001</v>
      </c>
      <c r="H468" s="58">
        <f t="shared" si="15"/>
        <v>1.0317398576374037E-2</v>
      </c>
    </row>
    <row r="469" spans="2:8" x14ac:dyDescent="0.45">
      <c r="B469" s="87">
        <v>43051</v>
      </c>
      <c r="C469" s="167">
        <v>1272.71</v>
      </c>
      <c r="D469" s="59">
        <f t="shared" si="14"/>
        <v>-9.6798039139400771E-3</v>
      </c>
      <c r="E469" s="85"/>
      <c r="F469" s="87">
        <v>43051</v>
      </c>
      <c r="G469" s="167">
        <v>10283.6</v>
      </c>
      <c r="H469" s="58">
        <f t="shared" si="15"/>
        <v>-3.6960786688303715E-3</v>
      </c>
    </row>
    <row r="470" spans="2:8" x14ac:dyDescent="0.45">
      <c r="B470" s="87">
        <v>43044</v>
      </c>
      <c r="C470" s="167">
        <v>1285.1500000000001</v>
      </c>
      <c r="D470" s="59">
        <f t="shared" si="14"/>
        <v>4.1264928456839156E-2</v>
      </c>
      <c r="E470" s="85"/>
      <c r="F470" s="87">
        <v>43044</v>
      </c>
      <c r="G470" s="167">
        <v>10321.75</v>
      </c>
      <c r="H470" s="58">
        <f t="shared" si="15"/>
        <v>-1.2508969146137305E-2</v>
      </c>
    </row>
    <row r="471" spans="2:8" x14ac:dyDescent="0.45">
      <c r="B471" s="87">
        <v>43037</v>
      </c>
      <c r="C471" s="167">
        <v>1234.22</v>
      </c>
      <c r="D471" s="59">
        <f t="shared" si="14"/>
        <v>-1.6385342450469409E-2</v>
      </c>
      <c r="E471" s="85"/>
      <c r="F471" s="87">
        <v>43037</v>
      </c>
      <c r="G471" s="167">
        <v>10452.5</v>
      </c>
      <c r="H471" s="58">
        <f t="shared" si="15"/>
        <v>1.253989857648663E-2</v>
      </c>
    </row>
    <row r="472" spans="2:8" x14ac:dyDescent="0.45">
      <c r="B472" s="87">
        <v>43030</v>
      </c>
      <c r="C472" s="167">
        <v>1254.78</v>
      </c>
      <c r="D472" s="59">
        <f t="shared" si="14"/>
        <v>1.9483526837760223E-3</v>
      </c>
      <c r="E472" s="85"/>
      <c r="F472" s="87">
        <v>43030</v>
      </c>
      <c r="G472" s="167">
        <v>10323.049999999999</v>
      </c>
      <c r="H472" s="58">
        <f t="shared" si="15"/>
        <v>1.7395075173334718E-2</v>
      </c>
    </row>
    <row r="473" spans="2:8" x14ac:dyDescent="0.45">
      <c r="B473" s="87">
        <v>43023</v>
      </c>
      <c r="C473" s="167">
        <v>1252.3399999999999</v>
      </c>
      <c r="D473" s="59">
        <f t="shared" si="14"/>
        <v>7.2871758574093448E-3</v>
      </c>
      <c r="E473" s="85"/>
      <c r="F473" s="87">
        <v>43023</v>
      </c>
      <c r="G473" s="167">
        <v>10146.549999999999</v>
      </c>
      <c r="H473" s="58">
        <f t="shared" si="15"/>
        <v>-2.0555793242161835E-3</v>
      </c>
    </row>
    <row r="474" spans="2:8" x14ac:dyDescent="0.45">
      <c r="B474" s="87">
        <v>43016</v>
      </c>
      <c r="C474" s="167">
        <v>1243.28</v>
      </c>
      <c r="D474" s="59">
        <f t="shared" si="14"/>
        <v>3.4205097491182501E-2</v>
      </c>
      <c r="E474" s="85"/>
      <c r="F474" s="87">
        <v>43016</v>
      </c>
      <c r="G474" s="167">
        <v>10167.450000000001</v>
      </c>
      <c r="H474" s="58">
        <f t="shared" si="15"/>
        <v>1.8813190777277944E-2</v>
      </c>
    </row>
    <row r="475" spans="2:8" x14ac:dyDescent="0.45">
      <c r="B475" s="87">
        <v>43009</v>
      </c>
      <c r="C475" s="167">
        <v>1202.1600000000001</v>
      </c>
      <c r="D475" s="59">
        <f t="shared" si="14"/>
        <v>2.8454102147317917E-2</v>
      </c>
      <c r="E475" s="85"/>
      <c r="F475" s="87">
        <v>43009</v>
      </c>
      <c r="G475" s="167">
        <v>9979.7000000000007</v>
      </c>
      <c r="H475" s="58">
        <f t="shared" si="15"/>
        <v>1.9522710091330664E-2</v>
      </c>
    </row>
    <row r="476" spans="2:8" x14ac:dyDescent="0.45">
      <c r="B476" s="87">
        <v>43002</v>
      </c>
      <c r="C476" s="167">
        <v>1168.9000000000001</v>
      </c>
      <c r="D476" s="59">
        <f t="shared" si="14"/>
        <v>-5.2693853734439799E-2</v>
      </c>
      <c r="E476" s="85"/>
      <c r="F476" s="87">
        <v>43002</v>
      </c>
      <c r="G476" s="167">
        <v>9788.6</v>
      </c>
      <c r="H476" s="58">
        <f t="shared" si="15"/>
        <v>-1.7642808397896448E-2</v>
      </c>
    </row>
    <row r="477" spans="2:8" x14ac:dyDescent="0.45">
      <c r="B477" s="87">
        <v>42995</v>
      </c>
      <c r="C477" s="167">
        <v>1233.92</v>
      </c>
      <c r="D477" s="59">
        <f t="shared" si="14"/>
        <v>-5.4566410626344375E-3</v>
      </c>
      <c r="E477" s="85"/>
      <c r="F477" s="87">
        <v>42995</v>
      </c>
      <c r="G477" s="167">
        <v>9964.4</v>
      </c>
      <c r="H477" s="58">
        <f t="shared" si="15"/>
        <v>-1.1997540999861167E-2</v>
      </c>
    </row>
    <row r="478" spans="2:8" x14ac:dyDescent="0.45">
      <c r="B478" s="87">
        <v>42988</v>
      </c>
      <c r="C478" s="167">
        <v>1240.69</v>
      </c>
      <c r="D478" s="59">
        <f t="shared" si="14"/>
        <v>3.1836062574329915E-2</v>
      </c>
      <c r="E478" s="85"/>
      <c r="F478" s="87">
        <v>42988</v>
      </c>
      <c r="G478" s="167">
        <v>10085.4</v>
      </c>
      <c r="H478" s="58">
        <f t="shared" si="15"/>
        <v>1.5158835608165333E-2</v>
      </c>
    </row>
    <row r="479" spans="2:8" x14ac:dyDescent="0.45">
      <c r="B479" s="87">
        <v>42981</v>
      </c>
      <c r="C479" s="167">
        <v>1202.4100000000001</v>
      </c>
      <c r="D479" s="59">
        <f t="shared" si="14"/>
        <v>-7.0687135106567434E-3</v>
      </c>
      <c r="E479" s="85"/>
      <c r="F479" s="87">
        <v>42981</v>
      </c>
      <c r="G479" s="167">
        <v>9934.7999999999993</v>
      </c>
      <c r="H479" s="58">
        <f t="shared" si="15"/>
        <v>-3.9701636188643752E-3</v>
      </c>
    </row>
    <row r="480" spans="2:8" x14ac:dyDescent="0.45">
      <c r="B480" s="87">
        <v>42974</v>
      </c>
      <c r="C480" s="167">
        <v>1210.97</v>
      </c>
      <c r="D480" s="59">
        <f t="shared" si="14"/>
        <v>2.6506739001441071E-2</v>
      </c>
      <c r="E480" s="85"/>
      <c r="F480" s="87">
        <v>42974</v>
      </c>
      <c r="G480" s="167">
        <v>9974.4</v>
      </c>
      <c r="H480" s="58">
        <f t="shared" si="15"/>
        <v>1.1905184614058095E-2</v>
      </c>
    </row>
    <row r="481" spans="2:8" x14ac:dyDescent="0.45">
      <c r="B481" s="87">
        <v>42967</v>
      </c>
      <c r="C481" s="167">
        <v>1179.7</v>
      </c>
      <c r="D481" s="59">
        <f t="shared" si="14"/>
        <v>-1.8715687905506595E-2</v>
      </c>
      <c r="E481" s="85"/>
      <c r="F481" s="87">
        <v>42967</v>
      </c>
      <c r="G481" s="167">
        <v>9857.0499999999993</v>
      </c>
      <c r="H481" s="58">
        <f t="shared" si="15"/>
        <v>1.9974790086811911E-3</v>
      </c>
    </row>
    <row r="482" spans="2:8" x14ac:dyDescent="0.45">
      <c r="B482" s="87">
        <v>42960</v>
      </c>
      <c r="C482" s="167">
        <v>1202.2</v>
      </c>
      <c r="D482" s="59">
        <f t="shared" si="14"/>
        <v>4.2852185981957058E-2</v>
      </c>
      <c r="E482" s="85"/>
      <c r="F482" s="87">
        <v>42960</v>
      </c>
      <c r="G482" s="167">
        <v>9837.4</v>
      </c>
      <c r="H482" s="58">
        <f t="shared" si="15"/>
        <v>1.303703093462949E-2</v>
      </c>
    </row>
    <row r="483" spans="2:8" x14ac:dyDescent="0.45">
      <c r="B483" s="87">
        <v>42953</v>
      </c>
      <c r="C483" s="167">
        <v>1152.8</v>
      </c>
      <c r="D483" s="59">
        <f t="shared" si="14"/>
        <v>-3.2967032967032961E-2</v>
      </c>
      <c r="E483" s="85"/>
      <c r="F483" s="87">
        <v>42953</v>
      </c>
      <c r="G483" s="167">
        <v>9710.7999999999993</v>
      </c>
      <c r="H483" s="58">
        <f t="shared" si="15"/>
        <v>-3.5325439084479049E-2</v>
      </c>
    </row>
    <row r="484" spans="2:8" x14ac:dyDescent="0.45">
      <c r="B484" s="87">
        <v>42946</v>
      </c>
      <c r="C484" s="167">
        <v>1192.0999999999999</v>
      </c>
      <c r="D484" s="59">
        <f t="shared" si="14"/>
        <v>3.3149889500368346E-2</v>
      </c>
      <c r="E484" s="85"/>
      <c r="F484" s="87">
        <v>42946</v>
      </c>
      <c r="G484" s="167">
        <v>10066.4</v>
      </c>
      <c r="H484" s="58">
        <f t="shared" si="15"/>
        <v>5.1824853961754958E-3</v>
      </c>
    </row>
    <row r="485" spans="2:8" x14ac:dyDescent="0.45">
      <c r="B485" s="87">
        <v>42939</v>
      </c>
      <c r="C485" s="167">
        <v>1153.8499999999999</v>
      </c>
      <c r="D485" s="59">
        <f t="shared" si="14"/>
        <v>-4.1427523410867417E-3</v>
      </c>
      <c r="E485" s="85"/>
      <c r="F485" s="87">
        <v>42939</v>
      </c>
      <c r="G485" s="167">
        <v>10014.5</v>
      </c>
      <c r="H485" s="58">
        <f t="shared" si="15"/>
        <v>1.0009833337535579E-2</v>
      </c>
    </row>
    <row r="486" spans="2:8" x14ac:dyDescent="0.45">
      <c r="B486" s="87">
        <v>42932</v>
      </c>
      <c r="C486" s="167">
        <v>1158.6500000000001</v>
      </c>
      <c r="D486" s="59">
        <f t="shared" si="14"/>
        <v>1.6984113051873972E-2</v>
      </c>
      <c r="E486" s="85"/>
      <c r="F486" s="87">
        <v>42932</v>
      </c>
      <c r="G486" s="167">
        <v>9915.25</v>
      </c>
      <c r="H486" s="58">
        <f t="shared" si="15"/>
        <v>2.9232224228354919E-3</v>
      </c>
    </row>
    <row r="487" spans="2:8" x14ac:dyDescent="0.45">
      <c r="B487" s="87">
        <v>42925</v>
      </c>
      <c r="C487" s="167">
        <v>1139.3</v>
      </c>
      <c r="D487" s="59">
        <f t="shared" si="14"/>
        <v>3.7897421882117088E-2</v>
      </c>
      <c r="E487" s="85"/>
      <c r="F487" s="87">
        <v>42925</v>
      </c>
      <c r="G487" s="167">
        <v>9886.35</v>
      </c>
      <c r="H487" s="58">
        <f t="shared" si="15"/>
        <v>2.2817562953920012E-2</v>
      </c>
    </row>
    <row r="488" spans="2:8" x14ac:dyDescent="0.45">
      <c r="B488" s="87">
        <v>42918</v>
      </c>
      <c r="C488" s="167">
        <v>1097.7</v>
      </c>
      <c r="D488" s="59">
        <f t="shared" si="14"/>
        <v>1.6765468692108376E-2</v>
      </c>
      <c r="E488" s="85"/>
      <c r="F488" s="87">
        <v>42918</v>
      </c>
      <c r="G488" s="167">
        <v>9665.7999999999993</v>
      </c>
      <c r="H488" s="58">
        <f t="shared" si="15"/>
        <v>1.521914945015701E-2</v>
      </c>
    </row>
    <row r="489" spans="2:8" x14ac:dyDescent="0.45">
      <c r="B489" s="87">
        <v>42911</v>
      </c>
      <c r="C489" s="167">
        <v>1079.5999999999999</v>
      </c>
      <c r="D489" s="59">
        <f t="shared" si="14"/>
        <v>-1.6668184716276735E-2</v>
      </c>
      <c r="E489" s="85"/>
      <c r="F489" s="87">
        <v>42911</v>
      </c>
      <c r="G489" s="167">
        <v>9520.9</v>
      </c>
      <c r="H489" s="58">
        <f t="shared" si="15"/>
        <v>-5.6449380936716143E-3</v>
      </c>
    </row>
    <row r="490" spans="2:8" x14ac:dyDescent="0.45">
      <c r="B490" s="87">
        <v>42904</v>
      </c>
      <c r="C490" s="167">
        <v>1097.9000000000001</v>
      </c>
      <c r="D490" s="59">
        <f t="shared" si="14"/>
        <v>5.5871038651769123E-3</v>
      </c>
      <c r="E490" s="85"/>
      <c r="F490" s="87">
        <v>42904</v>
      </c>
      <c r="G490" s="167">
        <v>9574.9500000000007</v>
      </c>
      <c r="H490" s="58">
        <f t="shared" si="15"/>
        <v>-1.3662840723607239E-3</v>
      </c>
    </row>
    <row r="491" spans="2:8" x14ac:dyDescent="0.45">
      <c r="B491" s="87">
        <v>42897</v>
      </c>
      <c r="C491" s="167">
        <v>1091.8</v>
      </c>
      <c r="D491" s="59">
        <f t="shared" si="14"/>
        <v>-3.2409732049116791E-3</v>
      </c>
      <c r="E491" s="85"/>
      <c r="F491" s="87">
        <v>42897</v>
      </c>
      <c r="G491" s="167">
        <v>9588.0499999999993</v>
      </c>
      <c r="H491" s="58">
        <f t="shared" si="15"/>
        <v>-8.295193028728165E-3</v>
      </c>
    </row>
    <row r="492" spans="2:8" x14ac:dyDescent="0.45">
      <c r="B492" s="87">
        <v>42890</v>
      </c>
      <c r="C492" s="167">
        <v>1095.3499999999999</v>
      </c>
      <c r="D492" s="59">
        <f t="shared" si="14"/>
        <v>8.2382179675992706E-3</v>
      </c>
      <c r="E492" s="85"/>
      <c r="F492" s="87">
        <v>42890</v>
      </c>
      <c r="G492" s="167">
        <v>9668.25</v>
      </c>
      <c r="H492" s="58">
        <f t="shared" si="15"/>
        <v>1.5279432330241871E-3</v>
      </c>
    </row>
    <row r="493" spans="2:8" x14ac:dyDescent="0.45">
      <c r="B493" s="87">
        <v>42883</v>
      </c>
      <c r="C493" s="167">
        <v>1086.4000000000001</v>
      </c>
      <c r="D493" s="59">
        <f t="shared" si="14"/>
        <v>4.3662039483164383E-2</v>
      </c>
      <c r="E493" s="85"/>
      <c r="F493" s="87">
        <v>42883</v>
      </c>
      <c r="G493" s="167">
        <v>9653.5</v>
      </c>
      <c r="H493" s="58">
        <f t="shared" si="15"/>
        <v>6.0864399537263747E-3</v>
      </c>
    </row>
    <row r="494" spans="2:8" x14ac:dyDescent="0.45">
      <c r="B494" s="87">
        <v>42876</v>
      </c>
      <c r="C494" s="167">
        <v>1040.95</v>
      </c>
      <c r="D494" s="59">
        <f t="shared" si="14"/>
        <v>3.2688492063492003E-2</v>
      </c>
      <c r="E494" s="85"/>
      <c r="F494" s="87">
        <v>42876</v>
      </c>
      <c r="G494" s="167">
        <v>9595.1</v>
      </c>
      <c r="H494" s="58">
        <f t="shared" si="15"/>
        <v>1.7734596251551382E-2</v>
      </c>
    </row>
    <row r="495" spans="2:8" x14ac:dyDescent="0.45">
      <c r="B495" s="87">
        <v>42869</v>
      </c>
      <c r="C495" s="167">
        <v>1008</v>
      </c>
      <c r="D495" s="59">
        <f t="shared" si="14"/>
        <v>2.8361558865537706E-2</v>
      </c>
      <c r="E495" s="85"/>
      <c r="F495" s="87">
        <v>42869</v>
      </c>
      <c r="G495" s="167">
        <v>9427.9</v>
      </c>
      <c r="H495" s="58">
        <f t="shared" si="15"/>
        <v>2.8720654405429702E-3</v>
      </c>
    </row>
    <row r="496" spans="2:8" x14ac:dyDescent="0.45">
      <c r="B496" s="87">
        <v>42862</v>
      </c>
      <c r="C496" s="168">
        <v>980.2</v>
      </c>
      <c r="D496" s="59">
        <f t="shared" si="14"/>
        <v>2.7571024216374918E-2</v>
      </c>
      <c r="F496" s="87">
        <v>42862</v>
      </c>
      <c r="G496" s="167">
        <v>9400.9</v>
      </c>
      <c r="H496" s="58">
        <f t="shared" si="15"/>
        <v>1.2449786221231385E-2</v>
      </c>
    </row>
    <row r="497" spans="2:8" x14ac:dyDescent="0.45">
      <c r="B497" s="87">
        <v>42855</v>
      </c>
      <c r="C497" s="168">
        <v>953.9</v>
      </c>
      <c r="D497" s="59">
        <f t="shared" si="14"/>
        <v>2.0268463554200755E-2</v>
      </c>
      <c r="F497" s="87">
        <v>42855</v>
      </c>
      <c r="G497" s="167">
        <v>9285.2999999999993</v>
      </c>
      <c r="H497" s="58">
        <f t="shared" si="15"/>
        <v>-2.0152514227674834E-3</v>
      </c>
    </row>
    <row r="498" spans="2:8" x14ac:dyDescent="0.45">
      <c r="B498" s="87">
        <v>42848</v>
      </c>
      <c r="C498" s="168">
        <v>934.95</v>
      </c>
      <c r="D498" s="59">
        <f t="shared" si="14"/>
        <v>3.1498234774933964E-2</v>
      </c>
      <c r="F498" s="87">
        <v>42848</v>
      </c>
      <c r="G498" s="167">
        <v>9304.0499999999993</v>
      </c>
      <c r="H498" s="58">
        <f t="shared" si="15"/>
        <v>2.0248042634383845E-2</v>
      </c>
    </row>
    <row r="499" spans="2:8" x14ac:dyDescent="0.45">
      <c r="B499" s="87">
        <v>42841</v>
      </c>
      <c r="C499" s="168">
        <v>906.4</v>
      </c>
      <c r="D499" s="59">
        <f t="shared" si="14"/>
        <v>-1.8888347675488526E-2</v>
      </c>
      <c r="F499" s="87">
        <v>42841</v>
      </c>
      <c r="G499" s="167">
        <v>9119.4</v>
      </c>
      <c r="H499" s="58">
        <f t="shared" si="15"/>
        <v>-3.4313939764828438E-3</v>
      </c>
    </row>
    <row r="500" spans="2:8" x14ac:dyDescent="0.45">
      <c r="B500" s="87">
        <v>42834</v>
      </c>
      <c r="C500" s="168">
        <v>923.85</v>
      </c>
      <c r="D500" s="59">
        <f t="shared" si="14"/>
        <v>-7.030827474310275E-4</v>
      </c>
      <c r="F500" s="87">
        <v>42834</v>
      </c>
      <c r="G500" s="167">
        <v>9150.7999999999993</v>
      </c>
      <c r="H500" s="58">
        <f t="shared" si="15"/>
        <v>-5.1639976952262412E-3</v>
      </c>
    </row>
    <row r="501" spans="2:8" x14ac:dyDescent="0.45">
      <c r="B501" s="87">
        <v>42827</v>
      </c>
      <c r="C501" s="168">
        <v>924.5</v>
      </c>
      <c r="D501" s="59">
        <f t="shared" si="14"/>
        <v>1.398409651768584E-2</v>
      </c>
      <c r="F501" s="87">
        <v>42827</v>
      </c>
      <c r="G501" s="167">
        <v>9198.2999999999993</v>
      </c>
      <c r="H501" s="58">
        <f t="shared" si="15"/>
        <v>2.6761139119770849E-3</v>
      </c>
    </row>
    <row r="502" spans="2:8" x14ac:dyDescent="0.45">
      <c r="B502" s="87">
        <v>42820</v>
      </c>
      <c r="C502" s="168">
        <v>911.75</v>
      </c>
      <c r="D502" s="59">
        <f t="shared" si="14"/>
        <v>1.2830482115085529E-2</v>
      </c>
      <c r="F502" s="87">
        <v>42820</v>
      </c>
      <c r="G502" s="167">
        <v>9173.75</v>
      </c>
      <c r="H502" s="58">
        <f t="shared" si="15"/>
        <v>7.2189284145804944E-3</v>
      </c>
    </row>
    <row r="503" spans="2:8" x14ac:dyDescent="0.45">
      <c r="B503" s="87">
        <v>42813</v>
      </c>
      <c r="C503" s="168">
        <v>900.2</v>
      </c>
      <c r="D503" s="59">
        <f t="shared" si="14"/>
        <v>-2.6037338651597741E-3</v>
      </c>
      <c r="F503" s="87">
        <v>42813</v>
      </c>
      <c r="G503" s="167">
        <v>9108</v>
      </c>
      <c r="H503" s="58">
        <f t="shared" si="15"/>
        <v>-5.6822833936495121E-3</v>
      </c>
    </row>
    <row r="504" spans="2:8" x14ac:dyDescent="0.45">
      <c r="B504" s="87">
        <v>42806</v>
      </c>
      <c r="C504" s="168">
        <v>902.55</v>
      </c>
      <c r="D504" s="59">
        <f t="shared" si="14"/>
        <v>3.125E-2</v>
      </c>
      <c r="F504" s="87">
        <v>42806</v>
      </c>
      <c r="G504" s="167">
        <v>9160.0499999999993</v>
      </c>
      <c r="H504" s="58">
        <f t="shared" si="15"/>
        <v>2.5239099898707762E-2</v>
      </c>
    </row>
    <row r="505" spans="2:8" x14ac:dyDescent="0.45">
      <c r="B505" s="87">
        <v>42799</v>
      </c>
      <c r="C505" s="168">
        <v>875.2</v>
      </c>
      <c r="D505" s="59">
        <f t="shared" si="14"/>
        <v>-2.2231089323375697E-3</v>
      </c>
      <c r="F505" s="87">
        <v>42799</v>
      </c>
      <c r="G505" s="167">
        <v>8934.5499999999993</v>
      </c>
      <c r="H505" s="58">
        <f t="shared" si="15"/>
        <v>4.1584481121208494E-3</v>
      </c>
    </row>
    <row r="506" spans="2:8" x14ac:dyDescent="0.45">
      <c r="B506" s="87">
        <v>42792</v>
      </c>
      <c r="C506" s="168">
        <v>877.15</v>
      </c>
      <c r="D506" s="59">
        <f t="shared" si="14"/>
        <v>2.2021555490824296E-2</v>
      </c>
      <c r="F506" s="87">
        <v>42792</v>
      </c>
      <c r="G506" s="167">
        <v>8897.5499999999993</v>
      </c>
      <c r="H506" s="58">
        <f t="shared" si="15"/>
        <v>-4.6926561888249729E-3</v>
      </c>
    </row>
    <row r="507" spans="2:8" x14ac:dyDescent="0.45">
      <c r="B507" s="87">
        <v>42785</v>
      </c>
      <c r="C507" s="168">
        <v>858.25</v>
      </c>
      <c r="D507" s="59">
        <f t="shared" si="14"/>
        <v>2.0208023774145545E-2</v>
      </c>
      <c r="F507" s="87">
        <v>42785</v>
      </c>
      <c r="G507" s="167">
        <v>8939.5</v>
      </c>
      <c r="H507" s="58">
        <f t="shared" si="15"/>
        <v>1.3353435278914416E-2</v>
      </c>
    </row>
    <row r="508" spans="2:8" x14ac:dyDescent="0.45">
      <c r="B508" s="87">
        <v>42778</v>
      </c>
      <c r="C508" s="168">
        <v>841.25</v>
      </c>
      <c r="D508" s="59">
        <f t="shared" si="14"/>
        <v>-1.1340933129627473E-2</v>
      </c>
      <c r="F508" s="87">
        <v>42778</v>
      </c>
      <c r="G508" s="167">
        <v>8821.7000000000007</v>
      </c>
      <c r="H508" s="58">
        <f t="shared" si="15"/>
        <v>3.2012099777680714E-3</v>
      </c>
    </row>
    <row r="509" spans="2:8" x14ac:dyDescent="0.45">
      <c r="B509" s="87">
        <v>42771</v>
      </c>
      <c r="C509" s="168">
        <v>850.9</v>
      </c>
      <c r="D509" s="59">
        <f t="shared" si="14"/>
        <v>1.3533392174167602E-3</v>
      </c>
      <c r="F509" s="87">
        <v>42771</v>
      </c>
      <c r="G509" s="167">
        <v>8793.5499999999993</v>
      </c>
      <c r="H509" s="58">
        <f t="shared" si="15"/>
        <v>6.0176525434876282E-3</v>
      </c>
    </row>
    <row r="510" spans="2:8" x14ac:dyDescent="0.45">
      <c r="B510" s="87">
        <v>42764</v>
      </c>
      <c r="C510" s="168">
        <v>849.75</v>
      </c>
      <c r="D510" s="59">
        <f t="shared" si="14"/>
        <v>-7.2434137508032848E-3</v>
      </c>
      <c r="F510" s="87">
        <v>42764</v>
      </c>
      <c r="G510" s="167">
        <v>8740.9500000000007</v>
      </c>
      <c r="H510" s="58">
        <f t="shared" si="15"/>
        <v>1.1537682626934886E-2</v>
      </c>
    </row>
    <row r="511" spans="2:8" x14ac:dyDescent="0.45">
      <c r="B511" s="87">
        <v>42757</v>
      </c>
      <c r="C511" s="168">
        <v>855.95</v>
      </c>
      <c r="D511" s="59">
        <f t="shared" si="14"/>
        <v>-5.2298216049740942E-3</v>
      </c>
      <c r="F511" s="87">
        <v>42757</v>
      </c>
      <c r="G511" s="167">
        <v>8641.25</v>
      </c>
      <c r="H511" s="58">
        <f t="shared" si="15"/>
        <v>3.4960805332151512E-2</v>
      </c>
    </row>
    <row r="512" spans="2:8" x14ac:dyDescent="0.45">
      <c r="B512" s="87">
        <v>42750</v>
      </c>
      <c r="C512" s="168">
        <v>860.45</v>
      </c>
      <c r="D512" s="59">
        <f t="shared" si="14"/>
        <v>3.925357811462038E-2</v>
      </c>
      <c r="F512" s="87">
        <v>42750</v>
      </c>
      <c r="G512" s="167">
        <v>8349.35</v>
      </c>
      <c r="H512" s="58">
        <f t="shared" si="15"/>
        <v>-6.0711756057783006E-3</v>
      </c>
    </row>
    <row r="513" spans="2:8" x14ac:dyDescent="0.45">
      <c r="B513" s="87">
        <v>42743</v>
      </c>
      <c r="C513" s="168">
        <v>827.95</v>
      </c>
      <c r="D513" s="59">
        <f t="shared" si="14"/>
        <v>-6.9565217391304168E-3</v>
      </c>
      <c r="F513" s="87">
        <v>42743</v>
      </c>
      <c r="G513" s="167">
        <v>8400.35</v>
      </c>
      <c r="H513" s="58">
        <f t="shared" si="15"/>
        <v>1.8990028870181419E-2</v>
      </c>
    </row>
    <row r="514" spans="2:8" x14ac:dyDescent="0.45">
      <c r="B514" s="87">
        <v>42736</v>
      </c>
      <c r="C514" s="168">
        <v>833.75</v>
      </c>
      <c r="D514" s="59">
        <f t="shared" si="14"/>
        <v>8.9550432625400411E-3</v>
      </c>
      <c r="F514" s="87">
        <v>42736</v>
      </c>
      <c r="G514" s="167">
        <v>8243.7999999999993</v>
      </c>
      <c r="H514" s="58">
        <f t="shared" si="15"/>
        <v>7.0854406411100523E-3</v>
      </c>
    </row>
    <row r="515" spans="2:8" x14ac:dyDescent="0.45">
      <c r="B515" s="87">
        <v>42729</v>
      </c>
      <c r="C515" s="168">
        <v>826.35</v>
      </c>
      <c r="D515" s="59">
        <f t="shared" si="14"/>
        <v>4.6675110829639044E-2</v>
      </c>
      <c r="F515" s="87">
        <v>42729</v>
      </c>
      <c r="G515" s="167">
        <v>8185.8</v>
      </c>
      <c r="H515" s="58">
        <f t="shared" si="15"/>
        <v>2.5050871865510471E-2</v>
      </c>
    </row>
    <row r="516" spans="2:8" x14ac:dyDescent="0.45">
      <c r="B516" s="87">
        <v>42722</v>
      </c>
      <c r="C516" s="168">
        <v>789.5</v>
      </c>
      <c r="D516" s="59">
        <f t="shared" ref="D516:D524" si="16">IFERROR((C516/C517)-1,0)</f>
        <v>-3.3600587551257832E-2</v>
      </c>
      <c r="F516" s="87">
        <v>42722</v>
      </c>
      <c r="G516" s="167">
        <v>7985.75</v>
      </c>
      <c r="H516" s="58">
        <f t="shared" ref="H516:H524" si="17">IFERROR((G516/G517)-1,0)</f>
        <v>-1.8883339783400621E-2</v>
      </c>
    </row>
    <row r="517" spans="2:8" x14ac:dyDescent="0.45">
      <c r="B517" s="87">
        <v>42715</v>
      </c>
      <c r="C517" s="168">
        <v>816.95</v>
      </c>
      <c r="D517" s="59">
        <f t="shared" si="16"/>
        <v>-3.3252470268031353E-2</v>
      </c>
      <c r="F517" s="87">
        <v>42715</v>
      </c>
      <c r="G517" s="167">
        <v>8139.45</v>
      </c>
      <c r="H517" s="58">
        <f t="shared" si="17"/>
        <v>-1.480315913698671E-2</v>
      </c>
    </row>
    <row r="518" spans="2:8" x14ac:dyDescent="0.45">
      <c r="B518" s="87">
        <v>42708</v>
      </c>
      <c r="C518" s="168">
        <v>845.05</v>
      </c>
      <c r="D518" s="59">
        <f t="shared" si="16"/>
        <v>1.6356966744843326E-2</v>
      </c>
      <c r="F518" s="87">
        <v>42708</v>
      </c>
      <c r="G518" s="167">
        <v>8261.75</v>
      </c>
      <c r="H518" s="58">
        <f t="shared" si="17"/>
        <v>2.1634020873522175E-2</v>
      </c>
    </row>
    <row r="519" spans="2:8" x14ac:dyDescent="0.45">
      <c r="B519" s="87">
        <v>42701</v>
      </c>
      <c r="C519" s="168">
        <v>831.45</v>
      </c>
      <c r="D519" s="59">
        <f t="shared" si="16"/>
        <v>-2.5791746641075086E-3</v>
      </c>
      <c r="F519" s="87">
        <v>42701</v>
      </c>
      <c r="G519" s="167">
        <v>8086.8</v>
      </c>
      <c r="H519" s="58">
        <f t="shared" si="17"/>
        <v>-3.3890785403546397E-3</v>
      </c>
    </row>
    <row r="520" spans="2:8" x14ac:dyDescent="0.45">
      <c r="B520" s="87">
        <v>42694</v>
      </c>
      <c r="C520" s="168">
        <v>833.6</v>
      </c>
      <c r="D520" s="59">
        <f t="shared" si="16"/>
        <v>3.8301052500467003E-2</v>
      </c>
      <c r="F520" s="87">
        <v>42694</v>
      </c>
      <c r="G520" s="167">
        <v>8114.3</v>
      </c>
      <c r="H520" s="58">
        <f t="shared" si="17"/>
        <v>4.9788830953294561E-3</v>
      </c>
    </row>
    <row r="521" spans="2:8" x14ac:dyDescent="0.45">
      <c r="B521" s="87">
        <v>42687</v>
      </c>
      <c r="C521" s="168">
        <v>802.85</v>
      </c>
      <c r="D521" s="59">
        <f t="shared" si="16"/>
        <v>1.3719987527285316E-3</v>
      </c>
      <c r="F521" s="87">
        <v>42687</v>
      </c>
      <c r="G521" s="167">
        <v>8074.1</v>
      </c>
      <c r="H521" s="58">
        <f t="shared" si="17"/>
        <v>-2.6783023757578572E-2</v>
      </c>
    </row>
    <row r="522" spans="2:8" x14ac:dyDescent="0.45">
      <c r="B522" s="87">
        <v>42680</v>
      </c>
      <c r="C522" s="168">
        <v>801.75</v>
      </c>
      <c r="D522" s="59">
        <f t="shared" si="16"/>
        <v>-5.4540094339622591E-2</v>
      </c>
      <c r="F522" s="87">
        <v>42680</v>
      </c>
      <c r="G522" s="167">
        <v>8296.2999999999993</v>
      </c>
      <c r="H522" s="58">
        <f t="shared" si="17"/>
        <v>-1.6297613754261198E-2</v>
      </c>
    </row>
    <row r="523" spans="2:8" x14ac:dyDescent="0.45">
      <c r="B523" s="87">
        <v>42673</v>
      </c>
      <c r="C523" s="168">
        <v>848</v>
      </c>
      <c r="D523" s="59">
        <f t="shared" si="16"/>
        <v>1.3747758517633102E-2</v>
      </c>
      <c r="F523" s="87">
        <v>42673</v>
      </c>
      <c r="G523" s="167">
        <v>8433.75</v>
      </c>
      <c r="H523" s="58">
        <f t="shared" si="17"/>
        <v>-2.3645519796249181E-2</v>
      </c>
    </row>
    <row r="524" spans="2:8" x14ac:dyDescent="0.45">
      <c r="B524" s="87">
        <v>42666</v>
      </c>
      <c r="C524" s="168">
        <v>836.5</v>
      </c>
      <c r="D524" s="59">
        <f t="shared" si="16"/>
        <v>-1.726973684210531E-2</v>
      </c>
      <c r="F524" s="87">
        <v>42666</v>
      </c>
      <c r="G524" s="167">
        <v>8638</v>
      </c>
      <c r="H524" s="58">
        <f t="shared" si="17"/>
        <v>-6.3326450440293058E-3</v>
      </c>
    </row>
    <row r="525" spans="2:8" x14ac:dyDescent="0.45">
      <c r="B525" s="87">
        <v>42659</v>
      </c>
      <c r="C525" s="168">
        <v>851.2</v>
      </c>
      <c r="D525" s="59">
        <v>0</v>
      </c>
      <c r="F525" s="87">
        <v>42659</v>
      </c>
      <c r="G525" s="167">
        <v>8693.0499999999993</v>
      </c>
      <c r="H525" s="58">
        <v>0</v>
      </c>
    </row>
  </sheetData>
  <mergeCells count="4">
    <mergeCell ref="B2:D2"/>
    <mergeCell ref="F2:H2"/>
    <mergeCell ref="K4:L4"/>
    <mergeCell ref="B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4175-B5A2-4525-BD74-99023C495183}">
  <dimension ref="B2:R24"/>
  <sheetViews>
    <sheetView showGridLines="0" topLeftCell="C1" workbookViewId="0">
      <selection activeCell="R2" sqref="R2"/>
    </sheetView>
  </sheetViews>
  <sheetFormatPr defaultRowHeight="14.25" x14ac:dyDescent="0.45"/>
  <cols>
    <col min="1" max="1" width="1.73046875" customWidth="1"/>
    <col min="2" max="2" width="23.1328125" style="88" bestFit="1" customWidth="1"/>
    <col min="3" max="3" width="13.46484375" customWidth="1"/>
    <col min="4" max="4" width="18.796875" customWidth="1"/>
    <col min="5" max="5" width="12.6640625" customWidth="1"/>
    <col min="6" max="6" width="9.9296875" customWidth="1"/>
    <col min="7" max="7" width="13.73046875" bestFit="1" customWidth="1"/>
    <col min="14" max="14" width="11.3984375" customWidth="1"/>
    <col min="15" max="15" width="10.46484375" customWidth="1"/>
    <col min="16" max="16" width="10.19921875" bestFit="1" customWidth="1"/>
    <col min="17" max="17" width="12.265625" bestFit="1" customWidth="1"/>
  </cols>
  <sheetData>
    <row r="2" spans="2:18" ht="18" x14ac:dyDescent="0.55000000000000004">
      <c r="B2" s="232" t="str">
        <f>"COMP Analysis for "&amp;'Data Sheet'!B1</f>
        <v>COMP Analysis for HINDUSTAN UNILEVER LTD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</row>
    <row r="3" spans="2:18" ht="16.149999999999999" thickBot="1" x14ac:dyDescent="0.55000000000000004">
      <c r="B3" s="129"/>
      <c r="C3" s="231" t="s">
        <v>187</v>
      </c>
      <c r="D3" s="231"/>
      <c r="E3" s="231"/>
      <c r="F3" s="231"/>
      <c r="G3" s="231"/>
      <c r="H3" s="122"/>
      <c r="I3" s="231" t="s">
        <v>188</v>
      </c>
      <c r="J3" s="231"/>
      <c r="K3" s="231"/>
      <c r="L3" s="231"/>
      <c r="M3" s="122"/>
      <c r="N3" s="231" t="s">
        <v>192</v>
      </c>
      <c r="O3" s="231"/>
      <c r="P3" s="231"/>
      <c r="Q3" s="231"/>
    </row>
    <row r="4" spans="2:18" x14ac:dyDescent="0.45">
      <c r="B4" s="129" t="s">
        <v>184</v>
      </c>
      <c r="C4" s="122" t="s">
        <v>183</v>
      </c>
      <c r="D4" s="122" t="s">
        <v>185</v>
      </c>
      <c r="E4" s="122" t="s">
        <v>186</v>
      </c>
      <c r="F4" s="122" t="s">
        <v>180</v>
      </c>
      <c r="G4" s="122" t="s">
        <v>179</v>
      </c>
      <c r="H4" s="122"/>
      <c r="I4" s="122" t="s">
        <v>189</v>
      </c>
      <c r="J4" s="122" t="s">
        <v>190</v>
      </c>
      <c r="K4" s="122" t="s">
        <v>159</v>
      </c>
      <c r="L4" s="122" t="s">
        <v>191</v>
      </c>
      <c r="M4" s="122"/>
      <c r="N4" s="170" t="s">
        <v>193</v>
      </c>
      <c r="O4" s="170" t="s">
        <v>194</v>
      </c>
      <c r="P4" s="170" t="s">
        <v>195</v>
      </c>
      <c r="Q4" s="170" t="s">
        <v>196</v>
      </c>
    </row>
    <row r="5" spans="2:18" s="121" customFormat="1" x14ac:dyDescent="0.45">
      <c r="B5" s="130" t="s">
        <v>197</v>
      </c>
      <c r="C5" s="123">
        <v>1873.3</v>
      </c>
      <c r="D5" s="124">
        <f>E5/C5</f>
        <v>234.95910959269739</v>
      </c>
      <c r="E5" s="123">
        <v>440148.9</v>
      </c>
      <c r="F5" s="142">
        <f>'Historical Financial Statement'!L41-'Historical Financial Statement'!L58</f>
        <v>-1505</v>
      </c>
      <c r="G5" s="121">
        <f>SUM(E5,F5)</f>
        <v>438643.9</v>
      </c>
      <c r="I5" s="123">
        <v>61975</v>
      </c>
      <c r="J5" s="123">
        <f>'Historical Financial Statement'!L13</f>
        <v>14464</v>
      </c>
      <c r="K5" s="123">
        <f>'Historical Financial Statement'!L17</f>
        <v>13278</v>
      </c>
      <c r="L5" s="123">
        <f>'Historical Financial Statement'!L26</f>
        <v>15427</v>
      </c>
      <c r="N5" s="127">
        <f>G5/I5</f>
        <v>7.0777555465913675</v>
      </c>
      <c r="O5" s="127">
        <f>G5/J5</f>
        <v>30.326597068584071</v>
      </c>
      <c r="P5" s="127">
        <f>G5/K5</f>
        <v>33.035389365868355</v>
      </c>
      <c r="Q5" s="127">
        <f>E5/L5</f>
        <v>28.531075387307968</v>
      </c>
    </row>
    <row r="6" spans="2:18" x14ac:dyDescent="0.45">
      <c r="B6" s="88" t="s">
        <v>198</v>
      </c>
      <c r="C6" s="140">
        <v>259.8</v>
      </c>
      <c r="D6" s="141">
        <f t="shared" ref="D6:D9" si="0">E6/C6</f>
        <v>1253.0516936104696</v>
      </c>
      <c r="E6" s="114">
        <v>325542.83</v>
      </c>
      <c r="F6" s="140">
        <f>2162-2136</f>
        <v>26</v>
      </c>
      <c r="G6" s="121">
        <f t="shared" ref="G6:G9" si="1">SUM(E6,F6)</f>
        <v>325568.83</v>
      </c>
      <c r="I6" s="140">
        <v>71984</v>
      </c>
      <c r="J6" s="140">
        <v>25196</v>
      </c>
      <c r="K6" s="140">
        <v>23722</v>
      </c>
      <c r="L6" s="140">
        <v>20286</v>
      </c>
      <c r="N6" s="127">
        <f t="shared" ref="N6:N9" si="2">G6/I6</f>
        <v>4.5227943709713267</v>
      </c>
      <c r="O6" s="127">
        <f t="shared" ref="O6:O9" si="3">G6/J6</f>
        <v>12.921449039530085</v>
      </c>
      <c r="P6" s="127">
        <f t="shared" ref="P6:P9" si="4">G6/K6</f>
        <v>13.7243415394992</v>
      </c>
      <c r="Q6" s="127">
        <f t="shared" ref="Q6:Q9" si="5">E6/L6</f>
        <v>16.047659962535739</v>
      </c>
    </row>
    <row r="7" spans="2:18" x14ac:dyDescent="0.45">
      <c r="B7" s="88" t="s">
        <v>199</v>
      </c>
      <c r="C7" s="140">
        <v>575.35</v>
      </c>
      <c r="D7" s="141">
        <f t="shared" si="0"/>
        <v>12.130928999739288</v>
      </c>
      <c r="E7" s="114">
        <v>6979.53</v>
      </c>
      <c r="F7" s="140">
        <f>571-29</f>
        <v>542</v>
      </c>
      <c r="G7" s="121">
        <f t="shared" si="1"/>
        <v>7521.53</v>
      </c>
      <c r="I7" s="140">
        <v>3276</v>
      </c>
      <c r="J7" s="140">
        <v>244</v>
      </c>
      <c r="K7" s="140">
        <v>301.58</v>
      </c>
      <c r="L7" s="140">
        <v>119</v>
      </c>
      <c r="N7" s="127">
        <f t="shared" si="2"/>
        <v>2.2959493284493284</v>
      </c>
      <c r="O7" s="127">
        <f t="shared" si="3"/>
        <v>30.825942622950819</v>
      </c>
      <c r="P7" s="127">
        <f t="shared" si="4"/>
        <v>24.940413820545128</v>
      </c>
      <c r="Q7" s="127">
        <f t="shared" si="5"/>
        <v>58.651512605042015</v>
      </c>
    </row>
    <row r="8" spans="2:18" x14ac:dyDescent="0.45">
      <c r="B8" s="88" t="s">
        <v>200</v>
      </c>
      <c r="C8" s="140">
        <v>221.7</v>
      </c>
      <c r="D8" s="141">
        <f t="shared" si="0"/>
        <v>5.1175462336490751</v>
      </c>
      <c r="E8" s="114">
        <v>1134.56</v>
      </c>
      <c r="F8" s="140">
        <f>525-19</f>
        <v>506</v>
      </c>
      <c r="G8" s="121">
        <f t="shared" si="1"/>
        <v>1640.56</v>
      </c>
      <c r="I8" s="140">
        <v>1965</v>
      </c>
      <c r="J8" s="140">
        <v>125</v>
      </c>
      <c r="K8" s="140">
        <v>79.930000000000007</v>
      </c>
      <c r="L8" s="140">
        <v>1</v>
      </c>
      <c r="N8" s="127">
        <f t="shared" si="2"/>
        <v>0.83489058524173021</v>
      </c>
      <c r="O8" s="127">
        <f t="shared" si="3"/>
        <v>13.12448</v>
      </c>
      <c r="P8" s="127">
        <f t="shared" si="4"/>
        <v>20.524959339421994</v>
      </c>
      <c r="Q8" s="127">
        <f t="shared" si="5"/>
        <v>1134.56</v>
      </c>
    </row>
    <row r="9" spans="2:18" x14ac:dyDescent="0.45">
      <c r="B9" s="88" t="s">
        <v>201</v>
      </c>
      <c r="C9" s="140">
        <v>2.2599999999999998</v>
      </c>
      <c r="D9" s="141">
        <f t="shared" si="0"/>
        <v>169.5840707964602</v>
      </c>
      <c r="E9" s="114">
        <v>383.26</v>
      </c>
      <c r="F9" s="140">
        <f>250-7</f>
        <v>243</v>
      </c>
      <c r="G9" s="121">
        <f t="shared" si="1"/>
        <v>626.26</v>
      </c>
      <c r="I9" s="140">
        <v>239</v>
      </c>
      <c r="J9" s="140">
        <v>48</v>
      </c>
      <c r="K9" s="140">
        <v>38.03</v>
      </c>
      <c r="L9" s="140">
        <v>9</v>
      </c>
      <c r="N9" s="127">
        <f t="shared" si="2"/>
        <v>2.6203347280334728</v>
      </c>
      <c r="O9" s="127">
        <f t="shared" si="3"/>
        <v>13.047083333333333</v>
      </c>
      <c r="P9" s="127">
        <f t="shared" si="4"/>
        <v>16.467525637654482</v>
      </c>
      <c r="Q9" s="127">
        <f t="shared" si="5"/>
        <v>42.584444444444443</v>
      </c>
    </row>
    <row r="10" spans="2:18" x14ac:dyDescent="0.45">
      <c r="N10" s="127"/>
      <c r="O10" s="127"/>
      <c r="P10" s="127"/>
      <c r="Q10" s="127"/>
    </row>
    <row r="11" spans="2:18" x14ac:dyDescent="0.45">
      <c r="B11" s="131" t="s">
        <v>202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8">
        <f>MAX(N5:N9)</f>
        <v>7.0777555465913675</v>
      </c>
      <c r="O11" s="128">
        <f t="shared" ref="O11:Q11" si="6">MAX(O5:O9)</f>
        <v>30.825942622950819</v>
      </c>
      <c r="P11" s="128">
        <f t="shared" si="6"/>
        <v>33.035389365868355</v>
      </c>
      <c r="Q11" s="128">
        <f t="shared" si="6"/>
        <v>1134.56</v>
      </c>
    </row>
    <row r="12" spans="2:18" x14ac:dyDescent="0.45">
      <c r="B12" s="131" t="s">
        <v>203</v>
      </c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8">
        <f>_xlfn.PERCENTILE.EXC(N5:N9,0.75)</f>
        <v>5.8002749587813476</v>
      </c>
      <c r="O12" s="128">
        <f t="shared" ref="O12:Q12" si="7">_xlfn.PERCENTILE.EXC(O5:O9,0.75)</f>
        <v>30.576269845767445</v>
      </c>
      <c r="P12" s="128">
        <f t="shared" si="7"/>
        <v>28.987901593206743</v>
      </c>
      <c r="Q12" s="128">
        <f t="shared" si="7"/>
        <v>596.60575630252106</v>
      </c>
      <c r="R12" s="127"/>
    </row>
    <row r="13" spans="2:18" s="2" customFormat="1" x14ac:dyDescent="0.45">
      <c r="B13" s="132" t="s">
        <v>204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4">
        <f>MEDIAN(N5:N9)</f>
        <v>2.6203347280334728</v>
      </c>
      <c r="O13" s="134">
        <f t="shared" ref="O13:Q13" si="8">MEDIAN(O5:O9)</f>
        <v>13.12448</v>
      </c>
      <c r="P13" s="134">
        <f t="shared" si="8"/>
        <v>20.524959339421994</v>
      </c>
      <c r="Q13" s="134">
        <f t="shared" si="8"/>
        <v>42.584444444444443</v>
      </c>
    </row>
    <row r="14" spans="2:18" s="2" customFormat="1" x14ac:dyDescent="0.45">
      <c r="B14" s="135" t="s">
        <v>205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7">
        <f>AVERAGE(N5:N9)</f>
        <v>3.4703449118574454</v>
      </c>
      <c r="O14" s="137">
        <f t="shared" ref="O14:Q14" si="9">AVERAGE(O5:O9)</f>
        <v>20.049110412879664</v>
      </c>
      <c r="P14" s="137">
        <f t="shared" si="9"/>
        <v>21.738525940597832</v>
      </c>
      <c r="Q14" s="137">
        <f t="shared" si="9"/>
        <v>256.07493847986603</v>
      </c>
    </row>
    <row r="15" spans="2:18" x14ac:dyDescent="0.45">
      <c r="B15" s="131" t="s">
        <v>206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8">
        <f>_xlfn.PERCENTILE.EXC(N5:N9,0.25)</f>
        <v>1.5654199568455294</v>
      </c>
      <c r="O15" s="128">
        <f t="shared" ref="O15:Q15" si="10">_xlfn.PERCENTILE.EXC(O5:O9,0.25)</f>
        <v>12.984266186431709</v>
      </c>
      <c r="P15" s="128">
        <f t="shared" si="10"/>
        <v>15.095933588576841</v>
      </c>
      <c r="Q15" s="128">
        <f t="shared" si="10"/>
        <v>22.289367674921856</v>
      </c>
    </row>
    <row r="16" spans="2:18" x14ac:dyDescent="0.45">
      <c r="B16" s="131" t="s">
        <v>207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8">
        <f>MIN(N5:N9)</f>
        <v>0.83489058524173021</v>
      </c>
      <c r="O16" s="128">
        <f t="shared" ref="O16:Q16" si="11">MIN(O5:O9)</f>
        <v>12.921449039530085</v>
      </c>
      <c r="P16" s="128">
        <f t="shared" si="11"/>
        <v>13.7243415394992</v>
      </c>
      <c r="Q16" s="128">
        <f t="shared" si="11"/>
        <v>16.047659962535739</v>
      </c>
    </row>
    <row r="18" spans="2:17" ht="16.149999999999999" thickBot="1" x14ac:dyDescent="0.55000000000000004">
      <c r="N18" s="231" t="s">
        <v>192</v>
      </c>
      <c r="O18" s="231"/>
      <c r="P18" s="231"/>
      <c r="Q18" s="231"/>
    </row>
    <row r="19" spans="2:17" x14ac:dyDescent="0.45">
      <c r="B19" s="138" t="str">
        <f>'Data Sheet'!B1</f>
        <v>HINDUSTAN UNILEVER LTD</v>
      </c>
      <c r="N19" s="169" t="s">
        <v>193</v>
      </c>
      <c r="O19" s="169" t="s">
        <v>194</v>
      </c>
      <c r="P19" s="169" t="s">
        <v>195</v>
      </c>
      <c r="Q19" s="169" t="s">
        <v>196</v>
      </c>
    </row>
    <row r="20" spans="2:17" x14ac:dyDescent="0.45">
      <c r="B20" s="88" t="s">
        <v>208</v>
      </c>
      <c r="N20" s="110">
        <f>I5*N13</f>
        <v>162395.24476987447</v>
      </c>
      <c r="O20" s="110">
        <f t="shared" ref="O20:Q20" si="12">J5*O13</f>
        <v>189832.47872000001</v>
      </c>
      <c r="P20" s="110">
        <f t="shared" si="12"/>
        <v>272530.41010884522</v>
      </c>
      <c r="Q20" s="110">
        <f t="shared" si="12"/>
        <v>656950.22444444441</v>
      </c>
    </row>
    <row r="21" spans="2:17" x14ac:dyDescent="0.45">
      <c r="B21" s="88" t="s">
        <v>180</v>
      </c>
      <c r="N21" s="143">
        <f>$F5</f>
        <v>-1505</v>
      </c>
      <c r="O21" s="143">
        <f t="shared" ref="O21:Q21" si="13">$F5</f>
        <v>-1505</v>
      </c>
      <c r="P21" s="143">
        <f t="shared" si="13"/>
        <v>-1505</v>
      </c>
      <c r="Q21" s="143">
        <f t="shared" si="13"/>
        <v>-1505</v>
      </c>
    </row>
    <row r="22" spans="2:17" x14ac:dyDescent="0.45">
      <c r="B22" s="88" t="s">
        <v>209</v>
      </c>
      <c r="N22" s="110">
        <f>N20-N21</f>
        <v>163900.24476987447</v>
      </c>
      <c r="O22" s="110">
        <f t="shared" ref="O22:Q22" si="14">O20-O21</f>
        <v>191337.47872000001</v>
      </c>
      <c r="P22" s="110">
        <f t="shared" si="14"/>
        <v>274035.41010884522</v>
      </c>
      <c r="Q22" s="110">
        <f t="shared" si="14"/>
        <v>658455.22444444441</v>
      </c>
    </row>
    <row r="23" spans="2:17" x14ac:dyDescent="0.45">
      <c r="B23" s="88" t="s">
        <v>210</v>
      </c>
      <c r="N23" s="110">
        <f>$D5</f>
        <v>234.95910959269739</v>
      </c>
      <c r="O23" s="110">
        <f t="shared" ref="O23:Q23" si="15">$D5</f>
        <v>234.95910959269739</v>
      </c>
      <c r="P23" s="110">
        <f t="shared" si="15"/>
        <v>234.95910959269739</v>
      </c>
      <c r="Q23" s="110">
        <f t="shared" si="15"/>
        <v>234.95910959269739</v>
      </c>
    </row>
    <row r="24" spans="2:17" x14ac:dyDescent="0.45">
      <c r="B24" s="132" t="s">
        <v>211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44">
        <f>N22/N23</f>
        <v>697.56922833933208</v>
      </c>
      <c r="O24" s="144">
        <f t="shared" ref="O24:Q24" si="16">O22/O23</f>
        <v>814.34373432757877</v>
      </c>
      <c r="P24" s="144">
        <f t="shared" si="16"/>
        <v>1166.3110682700781</v>
      </c>
      <c r="Q24" s="144">
        <f t="shared" si="16"/>
        <v>2802.4247520595363</v>
      </c>
    </row>
  </sheetData>
  <mergeCells count="5">
    <mergeCell ref="C3:G3"/>
    <mergeCell ref="I3:L3"/>
    <mergeCell ref="N3:Q3"/>
    <mergeCell ref="B2:Q2"/>
    <mergeCell ref="N18:Q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FE5D-FABC-4119-9D69-1115D67543F7}">
  <dimension ref="B1:Q20"/>
  <sheetViews>
    <sheetView showGridLines="0" workbookViewId="0">
      <selection activeCell="M20" sqref="M20"/>
    </sheetView>
  </sheetViews>
  <sheetFormatPr defaultRowHeight="14.25" x14ac:dyDescent="0.45"/>
  <cols>
    <col min="1" max="1" width="1.73046875" customWidth="1"/>
    <col min="2" max="2" width="37.265625" bestFit="1" customWidth="1"/>
  </cols>
  <sheetData>
    <row r="1" spans="2:17" s="46" customFormat="1" ht="18" x14ac:dyDescent="0.55000000000000004">
      <c r="B1" s="219" t="str">
        <f>"Dupont Model for "&amp;'Data Sheet'!B1</f>
        <v>Dupont Model for HINDUSTAN UNILEVER LTD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</row>
    <row r="2" spans="2:17" s="44" customFormat="1" ht="15.75" x14ac:dyDescent="0.5">
      <c r="B2" s="43" t="str">
        <f>'Historical Financial Statement'!B2</f>
        <v>Report Date</v>
      </c>
      <c r="C2" s="32">
        <f>'Historical Financial Statement'!C2</f>
        <v>42825</v>
      </c>
      <c r="D2" s="32">
        <f>'Historical Financial Statement'!D2</f>
        <v>43190</v>
      </c>
      <c r="E2" s="32">
        <f>'Historical Financial Statement'!E2</f>
        <v>43555</v>
      </c>
      <c r="F2" s="32">
        <f>'Historical Financial Statement'!F2</f>
        <v>43921</v>
      </c>
      <c r="G2" s="32">
        <f>'Historical Financial Statement'!G2</f>
        <v>44286</v>
      </c>
      <c r="H2" s="32">
        <f>'Historical Financial Statement'!H2</f>
        <v>44651</v>
      </c>
      <c r="I2" s="32">
        <f>'Historical Financial Statement'!I2</f>
        <v>45016</v>
      </c>
      <c r="J2" s="32">
        <f>'Historical Financial Statement'!J2</f>
        <v>45382</v>
      </c>
      <c r="K2" s="32">
        <f>'Historical Financial Statement'!K2</f>
        <v>45747</v>
      </c>
      <c r="L2" s="32">
        <f>'Historical Financial Statement'!L2</f>
        <v>46112</v>
      </c>
      <c r="M2" s="33">
        <f>'Historical Financial Statement'!M2</f>
        <v>46477</v>
      </c>
      <c r="N2" s="33">
        <f>'Historical Financial Statement'!N2</f>
        <v>46842</v>
      </c>
      <c r="O2" s="33">
        <f>'Historical Financial Statement'!O2</f>
        <v>47207</v>
      </c>
      <c r="P2" s="33">
        <f>'Historical Financial Statement'!P2</f>
        <v>47572</v>
      </c>
      <c r="Q2" s="33">
        <f>'Historical Financial Statement'!Q2</f>
        <v>47937</v>
      </c>
    </row>
    <row r="3" spans="2:17" x14ac:dyDescent="0.45">
      <c r="B3" t="s">
        <v>102</v>
      </c>
      <c r="C3" s="47">
        <f>'Historical Financial Statement'!C26/'Historical Financial Statement'!C22</f>
        <v>0.70200125078173858</v>
      </c>
      <c r="D3" s="47">
        <f>'Historical Financial Statement'!D26/'Historical Financial Statement'!D22</f>
        <v>0.71887439945092657</v>
      </c>
      <c r="E3" s="47">
        <f>'Historical Financial Statement'!E26/'Historical Financial Statement'!E22</f>
        <v>0.70828444027223658</v>
      </c>
      <c r="F3" s="47">
        <f>'Historical Financial Statement'!F26/'Historical Financial Statement'!F22</f>
        <v>0.74109106907171141</v>
      </c>
      <c r="G3" s="47">
        <f>'Historical Financial Statement'!G26/'Historical Financial Statement'!G22</f>
        <v>0.75824594852240224</v>
      </c>
      <c r="H3" s="47">
        <f>'Historical Financial Statement'!H26/'Historical Financial Statement'!H22</f>
        <v>0.75117130931084419</v>
      </c>
      <c r="I3" s="47">
        <f>'Historical Financial Statement'!I26/'Historical Financial Statement'!I22</f>
        <v>0.76167902744858174</v>
      </c>
      <c r="J3" s="47">
        <f>'Historical Financial Statement'!J26/'Historical Financial Statement'!J22</f>
        <v>0.73959780621572213</v>
      </c>
      <c r="K3" s="47">
        <f>'Historical Financial Statement'!K26/'Historical Financial Statement'!K22</f>
        <v>0.74412751677852351</v>
      </c>
      <c r="L3" s="47">
        <f>'Historical Financial Statement'!L26/'Historical Financial Statement'!L22</f>
        <v>0.83447828203602537</v>
      </c>
      <c r="M3" s="48">
        <f>'Historical Financial Statement'!M26/'Historical Financial Statement'!M22</f>
        <v>0.74973657531572613</v>
      </c>
      <c r="N3" s="48">
        <f>'Historical Financial Statement'!N26/'Historical Financial Statement'!N22</f>
        <v>0.75822619634240696</v>
      </c>
      <c r="O3" s="48">
        <f>'Historical Financial Statement'!O26/'Historical Financial Statement'!O22</f>
        <v>0.76456238829254175</v>
      </c>
      <c r="P3" s="48">
        <f>'Historical Financial Statement'!P26/'Historical Financial Statement'!P22</f>
        <v>0.77195272787733316</v>
      </c>
      <c r="Q3" s="48">
        <f>'Historical Financial Statement'!Q26/'Historical Financial Statement'!Q22</f>
        <v>0.77635155560235858</v>
      </c>
    </row>
    <row r="4" spans="2:17" x14ac:dyDescent="0.45">
      <c r="B4" t="s">
        <v>103</v>
      </c>
      <c r="C4" s="47">
        <f>'Historical Financial Statement'!C22/'Historical Financial Statement'!C17</f>
        <v>1.1318350734383296</v>
      </c>
      <c r="D4" s="47">
        <f>'Historical Financial Statement'!D22/'Historical Financial Statement'!D17</f>
        <v>1.0716387172697852</v>
      </c>
      <c r="E4" s="47">
        <f>'Historical Financial Statement'!E22/'Historical Financial Statement'!E17</f>
        <v>1.050412917539751</v>
      </c>
      <c r="F4" s="47">
        <f>'Historical Financial Statement'!F22/'Historical Financial Statement'!F17</f>
        <v>1.0496421149849919</v>
      </c>
      <c r="G4" s="47">
        <f>'Historical Financial Statement'!G22/'Historical Financial Statement'!G17</f>
        <v>1.0172614429790536</v>
      </c>
      <c r="H4" s="47">
        <f>'Historical Financial Statement'!H22/'Historical Financial Statement'!H17</f>
        <v>1.0227391531625718</v>
      </c>
      <c r="I4" s="47">
        <f>'Historical Financial Statement'!I22/'Historical Financial Statement'!I17</f>
        <v>1.0378511347405173</v>
      </c>
      <c r="J4" s="47">
        <f>'Historical Financial Statement'!J22/'Historical Financial Statement'!J17</f>
        <v>1.0444512334835407</v>
      </c>
      <c r="K4" s="47">
        <f>'Historical Financial Statement'!K22/'Historical Financial Statement'!K17</f>
        <v>1.0984487789894026</v>
      </c>
      <c r="L4" s="47">
        <f>'Historical Financial Statement'!L22/'Historical Financial Statement'!L17</f>
        <v>1.3923030576894111</v>
      </c>
      <c r="M4" s="48">
        <f>'Historical Financial Statement'!M22/'Historical Financial Statement'!M17</f>
        <v>1.0980374948604938</v>
      </c>
      <c r="N4" s="48">
        <f>'Historical Financial Statement'!N22/'Historical Financial Statement'!N17</f>
        <v>1.1107487188513225</v>
      </c>
      <c r="O4" s="48">
        <f>'Historical Financial Statement'!O22/'Historical Financial Statement'!O17</f>
        <v>1.1267461779392349</v>
      </c>
      <c r="P4" s="48">
        <f>'Historical Financial Statement'!P22/'Historical Financial Statement'!P17</f>
        <v>1.1452191047869837</v>
      </c>
      <c r="Q4" s="48">
        <f>'Historical Financial Statement'!Q22/'Historical Financial Statement'!Q17</f>
        <v>1.1630053185843372</v>
      </c>
    </row>
    <row r="5" spans="2:17" x14ac:dyDescent="0.45">
      <c r="B5" t="s">
        <v>104</v>
      </c>
      <c r="C5" s="49">
        <f>'Historical Financial Statement'!C18</f>
        <v>0.17720288491690184</v>
      </c>
      <c r="D5" s="49">
        <f>'Historical Financial Statement'!D18</f>
        <v>0.19690079652425779</v>
      </c>
      <c r="E5" s="49">
        <f>'Historical Financial Statement'!E18</f>
        <v>0.21224884889074927</v>
      </c>
      <c r="F5" s="49">
        <f>'Historical Financial Statement'!F18</f>
        <v>0.22333376305272656</v>
      </c>
      <c r="G5" s="49">
        <f>'Historical Financial Statement'!G18</f>
        <v>0.22419340812244543</v>
      </c>
      <c r="H5" s="49">
        <f>'Historical Financial Statement'!H18</f>
        <v>0.22421034125759381</v>
      </c>
      <c r="I5" s="49">
        <f>'Historical Financial Statement'!I18</f>
        <v>0.21307317732990666</v>
      </c>
      <c r="J5" s="49">
        <f>'Historical Financial Statement'!J18</f>
        <v>0.21652416940911873</v>
      </c>
      <c r="K5" s="49">
        <f>'Historical Financial Statement'!K18</f>
        <v>0.21821167638581673</v>
      </c>
      <c r="L5" s="49">
        <f>'Historical Financial Statement'!L18</f>
        <v>0.21424768051633725</v>
      </c>
      <c r="M5" s="50">
        <f>'Historical Financial Statement'!M18</f>
        <v>0.2298627477836796</v>
      </c>
      <c r="N5" s="50">
        <f>'Historical Financial Statement'!N18</f>
        <v>0.23291648557208705</v>
      </c>
      <c r="O5" s="50">
        <f>'Historical Financial Statement'!O18</f>
        <v>0.23197247713571603</v>
      </c>
      <c r="P5" s="50">
        <f>'Historical Financial Statement'!P18</f>
        <v>0.22807363279592902</v>
      </c>
      <c r="Q5" s="50">
        <f>'Historical Financial Statement'!Q18</f>
        <v>0.22672267838646662</v>
      </c>
    </row>
    <row r="6" spans="2:17" x14ac:dyDescent="0.45">
      <c r="B6" t="s">
        <v>98</v>
      </c>
      <c r="C6" s="49">
        <f>'Historical Financial Statement'!C27</f>
        <v>0.14079648792724991</v>
      </c>
      <c r="D6" s="49">
        <f>'Historical Financial Statement'!D27</f>
        <v>0.15168718320057928</v>
      </c>
      <c r="E6" s="49">
        <f>'Historical Financial Statement'!E27</f>
        <v>0.15791125994139807</v>
      </c>
      <c r="F6" s="49">
        <f>'Historical Financial Statement'!F27</f>
        <v>0.1737269562975377</v>
      </c>
      <c r="G6" s="49">
        <f>'Historical Financial Statement'!G27</f>
        <v>0.1729280807026698</v>
      </c>
      <c r="H6" s="49">
        <f>'Historical Financial Statement'!H27</f>
        <v>0.17225011232004375</v>
      </c>
      <c r="I6" s="49">
        <f>'Historical Financial Statement'!I27</f>
        <v>0.16843635871770593</v>
      </c>
      <c r="J6" s="49">
        <f>'Historical Financial Statement'!J27</f>
        <v>0.16725925680927417</v>
      </c>
      <c r="K6" s="49">
        <f>'Historical Financial Statement'!K27</f>
        <v>0.17836316106977679</v>
      </c>
      <c r="L6" s="49">
        <f>'Historical Financial Statement'!L27</f>
        <v>0.24892295280354981</v>
      </c>
      <c r="M6" s="50">
        <f>'Historical Financial Statement'!M27</f>
        <v>0.18923194896234111</v>
      </c>
      <c r="N6" s="50">
        <f>'Historical Financial Statement'!N27</f>
        <v>0.19616197910255145</v>
      </c>
      <c r="O6" s="50">
        <f>'Historical Financial Statement'!O27</f>
        <v>0.19983680766275844</v>
      </c>
      <c r="P6" s="50">
        <f>'Historical Financial Statement'!P27</f>
        <v>0.2016296381686068</v>
      </c>
      <c r="Q6" s="50">
        <f>'Historical Financial Statement'!Q27</f>
        <v>0.20470813037536181</v>
      </c>
    </row>
    <row r="7" spans="2:17" x14ac:dyDescent="0.45">
      <c r="B7" t="s">
        <v>99</v>
      </c>
      <c r="C7" s="51">
        <f>'Historical Financial Statement'!C5/'Historical Financial Statement'!C61</f>
        <v>2.1618873296725645</v>
      </c>
      <c r="D7" s="51">
        <f>'Historical Financial Statement'!D5/'Historical Financial Statement'!D61</f>
        <v>2.0132369234357688</v>
      </c>
      <c r="E7" s="51">
        <f>'Historical Financial Statement'!E5/'Historical Financial Statement'!E61</f>
        <v>2.1396025748670584</v>
      </c>
      <c r="F7" s="51">
        <f>'Historical Financial Statement'!F5/'Historical Financial Statement'!F61</f>
        <v>1.9786246301397816</v>
      </c>
      <c r="G7" s="51">
        <f>'Historical Financial Statement'!G5/'Historical Financial Statement'!G61</f>
        <v>0.67525985084268014</v>
      </c>
      <c r="H7" s="51">
        <f>'Historical Financial Statement'!H5/'Historical Financial Statement'!H61</f>
        <v>0.73408663980383437</v>
      </c>
      <c r="I7" s="51">
        <f>'Historical Financial Statement'!I5/'Historical Financial Statement'!I61</f>
        <v>0.82344587539157676</v>
      </c>
      <c r="J7" s="51">
        <f>'Historical Financial Statement'!J5/'Historical Financial Statement'!J61</f>
        <v>0.78453733976854012</v>
      </c>
      <c r="K7" s="51">
        <f>'Historical Financial Statement'!K5/'Historical Financial Statement'!K61</f>
        <v>0.76201907729240359</v>
      </c>
      <c r="L7" s="51">
        <f>'Historical Financial Statement'!L5/'Historical Financial Statement'!L61</f>
        <v>0.79473468236259648</v>
      </c>
      <c r="M7" s="52">
        <f>'Historical Financial Statement'!M5/'Historical Financial Statement'!M61</f>
        <v>0.89338968488597115</v>
      </c>
      <c r="N7" s="52">
        <f>'Historical Financial Statement'!N5/'Historical Financial Statement'!N61</f>
        <v>0.93764931114671113</v>
      </c>
      <c r="O7" s="52">
        <f>'Historical Financial Statement'!O5/'Historical Financial Statement'!O61</f>
        <v>0.98451012923219194</v>
      </c>
      <c r="P7" s="52">
        <f>'Historical Financial Statement'!P5/'Historical Financial Statement'!P61</f>
        <v>1.034613700099098</v>
      </c>
      <c r="Q7" s="52">
        <f>'Historical Financial Statement'!Q5/'Historical Financial Statement'!Q61</f>
        <v>1.0889463527439793</v>
      </c>
    </row>
    <row r="8" spans="2:17" x14ac:dyDescent="0.45">
      <c r="B8" t="s">
        <v>100</v>
      </c>
      <c r="C8" s="51">
        <f>'Historical Financial Statement'!C61/SUM('Historical Financial Statement'!C31:C32)</f>
        <v>2.2728813559322032</v>
      </c>
      <c r="D8" s="51">
        <f>'Historical Financial Statement'!D61/SUM('Historical Financial Statement'!D31:D32)</f>
        <v>2.423886925795053</v>
      </c>
      <c r="E8" s="51">
        <f>'Historical Financial Statement'!E61/SUM('Historical Financial Statement'!E31:E32)</f>
        <v>2.3325499412455932</v>
      </c>
      <c r="F8" s="51">
        <f>'Historical Financial Statement'!F61/SUM('Historical Financial Statement'!F31:F32)</f>
        <v>2.4407919312663431</v>
      </c>
      <c r="G8" s="51">
        <f>'Historical Financial Statement'!G61/SUM('Historical Financial Statement'!G31:G32)</f>
        <v>1.4360163595733018</v>
      </c>
      <c r="H8" s="51">
        <f>'Historical Financial Statement'!H61/SUM('Historical Financial Statement'!H31:H32)</f>
        <v>1.4302091878589007</v>
      </c>
      <c r="I8" s="51">
        <f>'Historical Financial Statement'!I61/SUM('Historical Financial Statement'!I31:I32)</f>
        <v>1.4301786105414069</v>
      </c>
      <c r="J8" s="51">
        <f>'Historical Financial Statement'!J61/SUM('Historical Financial Statement'!J31:J32)</f>
        <v>1.5120946383379437</v>
      </c>
      <c r="K8" s="51">
        <f>'Historical Financial Statement'!K61/SUM('Historical Financial Statement'!K31:K32)</f>
        <v>1.5932496490549917</v>
      </c>
      <c r="L8" s="51">
        <f>'Historical Financial Statement'!L61/SUM('Historical Financial Statement'!L31:L32)</f>
        <v>1.5842593909351319</v>
      </c>
      <c r="M8" s="52">
        <f>'Historical Financial Statement'!M61/SUM('Historical Financial Statement'!M31:M32)</f>
        <v>1.5281091631585395</v>
      </c>
      <c r="N8" s="52">
        <f>'Historical Financial Statement'!N61/SUM('Historical Financial Statement'!N31:N32)</f>
        <v>1.4801325439516142</v>
      </c>
      <c r="O8" s="52">
        <f>'Historical Financial Statement'!O61/SUM('Historical Financial Statement'!O31:O32)</f>
        <v>1.4328627254525248</v>
      </c>
      <c r="P8" s="52">
        <f>'Historical Financial Statement'!P61/SUM('Historical Financial Statement'!P31:P32)</f>
        <v>1.3866665460821164</v>
      </c>
      <c r="Q8" s="52">
        <f>'Historical Financial Statement'!Q61/SUM('Historical Financial Statement'!Q31:Q32)</f>
        <v>1.3406853374665764</v>
      </c>
    </row>
    <row r="12" spans="2:17" ht="15.75" x14ac:dyDescent="0.5">
      <c r="B12" s="233" t="s">
        <v>107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5"/>
    </row>
    <row r="13" spans="2:17" x14ac:dyDescent="0.45">
      <c r="B13" s="53" t="str">
        <f>B2</f>
        <v>Report Date</v>
      </c>
      <c r="C13" s="53">
        <f t="shared" ref="C13:Q13" si="0">C2</f>
        <v>42825</v>
      </c>
      <c r="D13" s="53">
        <f t="shared" si="0"/>
        <v>43190</v>
      </c>
      <c r="E13" s="53">
        <f t="shared" si="0"/>
        <v>43555</v>
      </c>
      <c r="F13" s="53">
        <f t="shared" si="0"/>
        <v>43921</v>
      </c>
      <c r="G13" s="53">
        <f t="shared" si="0"/>
        <v>44286</v>
      </c>
      <c r="H13" s="53">
        <f t="shared" si="0"/>
        <v>44651</v>
      </c>
      <c r="I13" s="53">
        <f t="shared" si="0"/>
        <v>45016</v>
      </c>
      <c r="J13" s="53">
        <f t="shared" si="0"/>
        <v>45382</v>
      </c>
      <c r="K13" s="53">
        <f t="shared" si="0"/>
        <v>45747</v>
      </c>
      <c r="L13" s="53">
        <f t="shared" si="0"/>
        <v>46112</v>
      </c>
      <c r="M13" s="54">
        <f t="shared" si="0"/>
        <v>46477</v>
      </c>
      <c r="N13" s="54">
        <f t="shared" si="0"/>
        <v>46842</v>
      </c>
      <c r="O13" s="54">
        <f t="shared" si="0"/>
        <v>47207</v>
      </c>
      <c r="P13" s="54">
        <f t="shared" si="0"/>
        <v>47572</v>
      </c>
      <c r="Q13" s="54">
        <f t="shared" si="0"/>
        <v>47937</v>
      </c>
    </row>
    <row r="14" spans="2:17" s="36" customFormat="1" x14ac:dyDescent="0.45">
      <c r="B14" s="40" t="s">
        <v>108</v>
      </c>
      <c r="C14" s="37">
        <f>C6*C7*C8</f>
        <v>0.69183359013867474</v>
      </c>
      <c r="D14" s="37">
        <f t="shared" ref="D14:Q14" si="1">D6*D7*D8</f>
        <v>0.74021201413427551</v>
      </c>
      <c r="E14" s="37">
        <f t="shared" si="1"/>
        <v>0.78809244026635328</v>
      </c>
      <c r="F14" s="37">
        <f t="shared" si="1"/>
        <v>0.83899887934254758</v>
      </c>
      <c r="G14" s="37">
        <f t="shared" si="1"/>
        <v>0.16768562634397266</v>
      </c>
      <c r="H14" s="37">
        <f t="shared" si="1"/>
        <v>0.18084495488105004</v>
      </c>
      <c r="I14" s="37">
        <f t="shared" si="1"/>
        <v>0.19836323450349455</v>
      </c>
      <c r="J14" s="37">
        <f t="shared" si="1"/>
        <v>0.19841877072175465</v>
      </c>
      <c r="K14" s="37">
        <f t="shared" si="1"/>
        <v>0.2165483286879743</v>
      </c>
      <c r="L14" s="37">
        <f t="shared" si="1"/>
        <v>0.31341039757836781</v>
      </c>
      <c r="M14" s="38">
        <f t="shared" si="1"/>
        <v>0.25833888216704526</v>
      </c>
      <c r="N14" s="38">
        <f t="shared" si="1"/>
        <v>0.27224247293717813</v>
      </c>
      <c r="O14" s="38">
        <f t="shared" si="1"/>
        <v>0.28190336321516268</v>
      </c>
      <c r="P14" s="38">
        <f t="shared" si="1"/>
        <v>0.28927082475843696</v>
      </c>
      <c r="Q14" s="38">
        <f t="shared" si="1"/>
        <v>0.29886044321659022</v>
      </c>
    </row>
    <row r="18" spans="2:17" ht="15.75" x14ac:dyDescent="0.5">
      <c r="B18" s="233" t="s">
        <v>109</v>
      </c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5"/>
    </row>
    <row r="19" spans="2:17" s="2" customFormat="1" x14ac:dyDescent="0.45">
      <c r="B19" s="39" t="str">
        <f>B2</f>
        <v>Report Date</v>
      </c>
      <c r="C19" s="53">
        <f t="shared" ref="C19:Q19" si="2">C2</f>
        <v>42825</v>
      </c>
      <c r="D19" s="53">
        <f t="shared" si="2"/>
        <v>43190</v>
      </c>
      <c r="E19" s="53">
        <f t="shared" si="2"/>
        <v>43555</v>
      </c>
      <c r="F19" s="53">
        <f t="shared" si="2"/>
        <v>43921</v>
      </c>
      <c r="G19" s="53">
        <f t="shared" si="2"/>
        <v>44286</v>
      </c>
      <c r="H19" s="53">
        <f t="shared" si="2"/>
        <v>44651</v>
      </c>
      <c r="I19" s="53">
        <f t="shared" si="2"/>
        <v>45016</v>
      </c>
      <c r="J19" s="53">
        <f t="shared" si="2"/>
        <v>45382</v>
      </c>
      <c r="K19" s="53">
        <f t="shared" si="2"/>
        <v>45747</v>
      </c>
      <c r="L19" s="53">
        <f t="shared" si="2"/>
        <v>46112</v>
      </c>
      <c r="M19" s="54">
        <f t="shared" si="2"/>
        <v>46477</v>
      </c>
      <c r="N19" s="54">
        <f t="shared" si="2"/>
        <v>46842</v>
      </c>
      <c r="O19" s="54">
        <f t="shared" si="2"/>
        <v>47207</v>
      </c>
      <c r="P19" s="54">
        <f t="shared" si="2"/>
        <v>47572</v>
      </c>
      <c r="Q19" s="54">
        <f t="shared" si="2"/>
        <v>47937</v>
      </c>
    </row>
    <row r="20" spans="2:17" s="2" customFormat="1" x14ac:dyDescent="0.45">
      <c r="B20" s="40" t="s">
        <v>101</v>
      </c>
      <c r="C20" s="41">
        <f>C3*C4*C5*C7*C8</f>
        <v>0.69183359013867474</v>
      </c>
      <c r="D20" s="41">
        <f t="shared" ref="D20:Q20" si="3">D3*D4*D5*D7*D8</f>
        <v>0.74021201413427562</v>
      </c>
      <c r="E20" s="41">
        <f t="shared" si="3"/>
        <v>0.78809244026635328</v>
      </c>
      <c r="F20" s="41">
        <f t="shared" si="3"/>
        <v>0.83899887934254758</v>
      </c>
      <c r="G20" s="41">
        <f t="shared" si="3"/>
        <v>0.16768562634397266</v>
      </c>
      <c r="H20" s="41">
        <f t="shared" si="3"/>
        <v>0.18084495488105004</v>
      </c>
      <c r="I20" s="41">
        <f t="shared" si="3"/>
        <v>0.19836323450349455</v>
      </c>
      <c r="J20" s="41">
        <f t="shared" si="3"/>
        <v>0.19841877072175465</v>
      </c>
      <c r="K20" s="41">
        <f t="shared" si="3"/>
        <v>0.21654832868797436</v>
      </c>
      <c r="L20" s="41">
        <f t="shared" si="3"/>
        <v>0.31341039757836786</v>
      </c>
      <c r="M20" s="42">
        <f t="shared" si="3"/>
        <v>0.25833888216704526</v>
      </c>
      <c r="N20" s="42">
        <f t="shared" si="3"/>
        <v>0.27224247293717813</v>
      </c>
      <c r="O20" s="42">
        <f t="shared" si="3"/>
        <v>0.28190336321516268</v>
      </c>
      <c r="P20" s="42">
        <f t="shared" si="3"/>
        <v>0.28927082475843696</v>
      </c>
      <c r="Q20" s="42">
        <f t="shared" si="3"/>
        <v>0.29886044321659022</v>
      </c>
    </row>
  </sheetData>
  <mergeCells count="3">
    <mergeCell ref="B1:Q1"/>
    <mergeCell ref="B12:Q12"/>
    <mergeCell ref="B18:Q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A6A0-8E5C-49FF-B36C-E9AEBA833265}">
  <dimension ref="B1:L39"/>
  <sheetViews>
    <sheetView showGridLines="0" workbookViewId="0">
      <selection activeCell="L15" sqref="L15"/>
    </sheetView>
  </sheetViews>
  <sheetFormatPr defaultRowHeight="14.25" x14ac:dyDescent="0.45"/>
  <cols>
    <col min="1" max="1" width="1.73046875" customWidth="1"/>
    <col min="2" max="2" width="21.1328125" bestFit="1" customWidth="1"/>
  </cols>
  <sheetData>
    <row r="1" spans="2:12" ht="18" x14ac:dyDescent="0.55000000000000004">
      <c r="B1" s="236" t="str">
        <f>"Common Size Income Statement for "&amp;'Data Sheet'!B1</f>
        <v>Common Size Income Statement for HINDUSTAN UNILEVER LTD</v>
      </c>
      <c r="C1" s="219"/>
      <c r="D1" s="219"/>
      <c r="E1" s="219"/>
      <c r="F1" s="219"/>
      <c r="G1" s="219"/>
      <c r="H1" s="219"/>
      <c r="I1" s="219"/>
      <c r="J1" s="219"/>
      <c r="K1" s="219"/>
      <c r="L1" s="237"/>
    </row>
    <row r="2" spans="2:12" ht="15.75" x14ac:dyDescent="0.5">
      <c r="B2" s="146" t="str">
        <f>'Data Sheet'!A16</f>
        <v>Report Date</v>
      </c>
      <c r="C2" s="55">
        <f>'Data Sheet'!B16</f>
        <v>42825</v>
      </c>
      <c r="D2" s="55">
        <f>'Data Sheet'!C16</f>
        <v>43190</v>
      </c>
      <c r="E2" s="55">
        <f>'Data Sheet'!D16</f>
        <v>43555</v>
      </c>
      <c r="F2" s="55">
        <f>'Data Sheet'!E16</f>
        <v>43921</v>
      </c>
      <c r="G2" s="55">
        <f>'Data Sheet'!F16</f>
        <v>44286</v>
      </c>
      <c r="H2" s="55">
        <f>'Data Sheet'!G16</f>
        <v>44651</v>
      </c>
      <c r="I2" s="55">
        <f>'Data Sheet'!H16</f>
        <v>45016</v>
      </c>
      <c r="J2" s="55">
        <f>'Data Sheet'!I16</f>
        <v>45382</v>
      </c>
      <c r="K2" s="55">
        <f>'Data Sheet'!J16</f>
        <v>45747</v>
      </c>
      <c r="L2" s="147">
        <f>'Data Sheet'!K16</f>
        <v>46112</v>
      </c>
    </row>
    <row r="3" spans="2:12" x14ac:dyDescent="0.45">
      <c r="B3" s="154" t="str">
        <f>'Data Sheet'!A17</f>
        <v>Sales</v>
      </c>
      <c r="C3" s="155">
        <f>'Data Sheet'!B17/'Data Sheet'!B$17</f>
        <v>1</v>
      </c>
      <c r="D3" s="155">
        <f>'Data Sheet'!C17/'Data Sheet'!C$17</f>
        <v>1</v>
      </c>
      <c r="E3" s="155">
        <f>'Data Sheet'!D17/'Data Sheet'!D$17</f>
        <v>1</v>
      </c>
      <c r="F3" s="155">
        <f>'Data Sheet'!E17/'Data Sheet'!E$17</f>
        <v>1</v>
      </c>
      <c r="G3" s="155">
        <f>'Data Sheet'!F17/'Data Sheet'!F$17</f>
        <v>1</v>
      </c>
      <c r="H3" s="155">
        <f>'Data Sheet'!G17/'Data Sheet'!G$17</f>
        <v>1</v>
      </c>
      <c r="I3" s="155">
        <f>'Data Sheet'!H17/'Data Sheet'!H$17</f>
        <v>1</v>
      </c>
      <c r="J3" s="155">
        <f>'Data Sheet'!I17/'Data Sheet'!I$17</f>
        <v>1</v>
      </c>
      <c r="K3" s="155">
        <f>'Data Sheet'!J17/'Data Sheet'!J$17</f>
        <v>1</v>
      </c>
      <c r="L3" s="156">
        <f>'Data Sheet'!K17/'Data Sheet'!K$17</f>
        <v>1</v>
      </c>
    </row>
    <row r="4" spans="2:12" x14ac:dyDescent="0.45">
      <c r="B4" s="148" t="str">
        <f>'Data Sheet'!A18</f>
        <v>Raw Material Cost</v>
      </c>
      <c r="C4" s="149">
        <f>'Data Sheet'!B18/'Data Sheet'!B$17</f>
        <v>0.4128253370962684</v>
      </c>
      <c r="D4" s="149">
        <f>'Data Sheet'!C18/'Data Sheet'!C$17</f>
        <v>0.40141926140477913</v>
      </c>
      <c r="E4" s="149">
        <f>'Data Sheet'!D18/'Data Sheet'!D$17</f>
        <v>0.40367308497279197</v>
      </c>
      <c r="F4" s="149">
        <f>'Data Sheet'!E18/'Data Sheet'!E$17</f>
        <v>0.39649348975119247</v>
      </c>
      <c r="G4" s="149">
        <f>'Data Sheet'!F18/'Data Sheet'!F$17</f>
        <v>0.43012435863988174</v>
      </c>
      <c r="H4" s="149">
        <f>'Data Sheet'!G18/'Data Sheet'!G$17</f>
        <v>0.43752075479069402</v>
      </c>
      <c r="I4" s="149">
        <f>'Data Sheet'!H18/'Data Sheet'!H$17</f>
        <v>0.4741309346679291</v>
      </c>
      <c r="J4" s="149">
        <f>'Data Sheet'!I18/'Data Sheet'!I$17</f>
        <v>0.43986174734161304</v>
      </c>
      <c r="K4" s="149">
        <f>'Data Sheet'!J18/'Data Sheet'!J$17</f>
        <v>0.44314297204906494</v>
      </c>
      <c r="L4" s="150">
        <f>'Data Sheet'!K18/'Data Sheet'!K$17</f>
        <v>0.46604275917708754</v>
      </c>
    </row>
    <row r="5" spans="2:12" x14ac:dyDescent="0.45">
      <c r="B5" s="148" t="str">
        <f>'Data Sheet'!A19</f>
        <v>Change in Inventory</v>
      </c>
      <c r="C5" s="149">
        <f>'Data Sheet'!B19/'Data Sheet'!B$17</f>
        <v>-4.8918156161806212E-3</v>
      </c>
      <c r="D5" s="149">
        <f>'Data Sheet'!C19/'Data Sheet'!C$17</f>
        <v>2.056480811006517E-3</v>
      </c>
      <c r="E5" s="149">
        <f>'Data Sheet'!D19/'Data Sheet'!D$17</f>
        <v>-3.1393888656341566E-4</v>
      </c>
      <c r="F5" s="149">
        <f>'Data Sheet'!E19/'Data Sheet'!E$17</f>
        <v>3.1197627948949336E-3</v>
      </c>
      <c r="G5" s="149">
        <f>'Data Sheet'!F19/'Data Sheet'!F$17</f>
        <v>8.5007391947125831E-3</v>
      </c>
      <c r="H5" s="149">
        <f>'Data Sheet'!G19/'Data Sheet'!G$17</f>
        <v>3.7114449241107183E-4</v>
      </c>
      <c r="I5" s="149">
        <f>'Data Sheet'!H19/'Data Sheet'!H$17</f>
        <v>8.9611794941160553E-4</v>
      </c>
      <c r="J5" s="149">
        <f>'Data Sheet'!I19/'Data Sheet'!I$17</f>
        <v>1.3229919462865269E-4</v>
      </c>
      <c r="K5" s="149">
        <f>'Data Sheet'!J19/'Data Sheet'!J$17</f>
        <v>1.3070581138145989E-3</v>
      </c>
      <c r="L5" s="150">
        <f>'Data Sheet'!K19/'Data Sheet'!K$17</f>
        <v>6.3735377168212988E-3</v>
      </c>
    </row>
    <row r="6" spans="2:12" x14ac:dyDescent="0.45">
      <c r="B6" s="148" t="str">
        <f>'Data Sheet'!A20</f>
        <v>Power and Fuel</v>
      </c>
      <c r="C6" s="149">
        <f>'Data Sheet'!B20/'Data Sheet'!B$17</f>
        <v>8.0589526497334592E-3</v>
      </c>
      <c r="D6" s="149">
        <f>'Data Sheet'!C20/'Data Sheet'!C$17</f>
        <v>7.5018102824040553E-3</v>
      </c>
      <c r="E6" s="149">
        <f>'Data Sheet'!D20/'Data Sheet'!D$17</f>
        <v>7.0374633737965674E-3</v>
      </c>
      <c r="F6" s="149">
        <f>'Data Sheet'!E20/'Data Sheet'!E$17</f>
        <v>6.7809720252675005E-3</v>
      </c>
      <c r="G6" s="149">
        <f>'Data Sheet'!F20/'Data Sheet'!F$17</f>
        <v>6.6092703713366381E-3</v>
      </c>
      <c r="H6" s="149">
        <f>'Data Sheet'!G20/'Data Sheet'!G$17</f>
        <v>5.4108960209403633E-3</v>
      </c>
      <c r="I6" s="149">
        <f>'Data Sheet'!H20/'Data Sheet'!H$17</f>
        <v>5.4950628973353174E-3</v>
      </c>
      <c r="J6" s="149">
        <f>'Data Sheet'!I20/'Data Sheet'!I$17</f>
        <v>6.3503613421753294E-3</v>
      </c>
      <c r="K6" s="149">
        <f>'Data Sheet'!J20/'Data Sheet'!J$17</f>
        <v>5.7141899591125409E-3</v>
      </c>
      <c r="L6" s="150">
        <f>'Data Sheet'!K20/'Data Sheet'!K$17</f>
        <v>5.8733360225897537E-3</v>
      </c>
    </row>
    <row r="7" spans="2:12" x14ac:dyDescent="0.45">
      <c r="B7" s="148" t="str">
        <f>'Data Sheet'!A21</f>
        <v>Other Mfr. Exp</v>
      </c>
      <c r="C7" s="149">
        <f>'Data Sheet'!B21/'Data Sheet'!B$17</f>
        <v>8.6892442772028844E-2</v>
      </c>
      <c r="D7" s="149">
        <f>'Data Sheet'!C21/'Data Sheet'!C$17</f>
        <v>8.5677045619116585E-2</v>
      </c>
      <c r="E7" s="149">
        <f>'Data Sheet'!D21/'Data Sheet'!D$17</f>
        <v>7.8955629970699034E-2</v>
      </c>
      <c r="F7" s="149">
        <f>'Data Sheet'!E21/'Data Sheet'!E$17</f>
        <v>7.3739847879334797E-2</v>
      </c>
      <c r="G7" s="149">
        <f>'Data Sheet'!F21/'Data Sheet'!F$17</f>
        <v>6.1896686668405948E-2</v>
      </c>
      <c r="H7" s="149">
        <f>'Data Sheet'!G21/'Data Sheet'!G$17</f>
        <v>6.5028421854550433E-2</v>
      </c>
      <c r="I7" s="149">
        <f>'Data Sheet'!H21/'Data Sheet'!H$17</f>
        <v>6.2643717029622611E-2</v>
      </c>
      <c r="J7" s="149">
        <f>'Data Sheet'!I21/'Data Sheet'!I$17</f>
        <v>5.4457655989019166E-2</v>
      </c>
      <c r="K7" s="149">
        <f>'Data Sheet'!J21/'Data Sheet'!J$17</f>
        <v>5.8784100811046319E-2</v>
      </c>
      <c r="L7" s="150">
        <f>'Data Sheet'!K21/'Data Sheet'!K$17</f>
        <v>4.9681323114158932E-2</v>
      </c>
    </row>
    <row r="8" spans="2:12" x14ac:dyDescent="0.45">
      <c r="B8" s="148" t="str">
        <f>'Data Sheet'!A22</f>
        <v>Employee Cost</v>
      </c>
      <c r="C8" s="149">
        <f>'Data Sheet'!B22/'Data Sheet'!B$17</f>
        <v>5.0799623706491062E-2</v>
      </c>
      <c r="D8" s="149">
        <f>'Data Sheet'!C22/'Data Sheet'!C$17</f>
        <v>5.0543084721216512E-2</v>
      </c>
      <c r="E8" s="149">
        <f>'Data Sheet'!D22/'Data Sheet'!D$17</f>
        <v>4.5704269568857266E-2</v>
      </c>
      <c r="F8" s="149">
        <f>'Data Sheet'!E22/'Data Sheet'!E$17</f>
        <v>4.3599329637746549E-2</v>
      </c>
      <c r="G8" s="149">
        <f>'Data Sheet'!F22/'Data Sheet'!F$17</f>
        <v>4.8460735716149228E-2</v>
      </c>
      <c r="H8" s="149">
        <f>'Data Sheet'!G22/'Data Sheet'!G$17</f>
        <v>4.6861875647061124E-2</v>
      </c>
      <c r="I8" s="149">
        <f>'Data Sheet'!H22/'Data Sheet'!H$17</f>
        <v>4.50595157581496E-2</v>
      </c>
      <c r="J8" s="149">
        <f>'Data Sheet'!I22/'Data Sheet'!I$17</f>
        <v>4.6007044932113973E-2</v>
      </c>
      <c r="K8" s="149">
        <f>'Data Sheet'!J22/'Data Sheet'!J$17</f>
        <v>4.5495676653931227E-2</v>
      </c>
      <c r="L8" s="150">
        <f>'Data Sheet'!K22/'Data Sheet'!K$17</f>
        <v>4.5873336022589757E-2</v>
      </c>
    </row>
    <row r="9" spans="2:12" x14ac:dyDescent="0.45">
      <c r="B9" s="148" t="str">
        <f>'Data Sheet'!A23</f>
        <v>Selling and admin</v>
      </c>
      <c r="C9" s="149">
        <f>'Data Sheet'!B23/'Data Sheet'!B$17</f>
        <v>0.20407651301348384</v>
      </c>
      <c r="D9" s="149">
        <f>'Data Sheet'!C23/'Data Sheet'!C$17</f>
        <v>0.20579290369297609</v>
      </c>
      <c r="E9" s="149">
        <f>'Data Sheet'!D23/'Data Sheet'!D$17</f>
        <v>0.20000523231477604</v>
      </c>
      <c r="F9" s="149">
        <f>'Data Sheet'!E23/'Data Sheet'!E$17</f>
        <v>0.19396673971896353</v>
      </c>
      <c r="G9" s="149">
        <f>'Data Sheet'!F23/'Data Sheet'!F$17</f>
        <v>0.16921036611879295</v>
      </c>
      <c r="H9" s="149">
        <f>'Data Sheet'!G23/'Data Sheet'!G$17</f>
        <v>0.15716992557576231</v>
      </c>
      <c r="I9" s="149">
        <f>'Data Sheet'!H23/'Data Sheet'!H$17</f>
        <v>0.14665900175842012</v>
      </c>
      <c r="J9" s="149">
        <f>'Data Sheet'!I23/'Data Sheet'!I$17</f>
        <v>0.17466801170847873</v>
      </c>
      <c r="K9" s="149">
        <f>'Data Sheet'!J23/'Data Sheet'!J$17</f>
        <v>0.16447147932167036</v>
      </c>
      <c r="L9" s="150">
        <f>'Data Sheet'!K23/'Data Sheet'!K$17</f>
        <v>0.16077450584913272</v>
      </c>
    </row>
    <row r="10" spans="2:12" x14ac:dyDescent="0.45">
      <c r="B10" s="148" t="str">
        <f>'Data Sheet'!A24</f>
        <v>Other Expenses</v>
      </c>
      <c r="C10" s="149">
        <f>'Data Sheet'!B24/'Data Sheet'!B$17</f>
        <v>4.283474443399185E-2</v>
      </c>
      <c r="D10" s="149">
        <f>'Data Sheet'!C24/'Data Sheet'!C$17</f>
        <v>4.0376538740043447E-2</v>
      </c>
      <c r="E10" s="149">
        <f>'Data Sheet'!D24/'Data Sheet'!D$17</f>
        <v>3.8352867308497282E-2</v>
      </c>
      <c r="F10" s="149">
        <f>'Data Sheet'!E24/'Data Sheet'!E$17</f>
        <v>4.1021013278329251E-2</v>
      </c>
      <c r="G10" s="149">
        <f>'Data Sheet'!F24/'Data Sheet'!F$17</f>
        <v>4.6004000347856337E-2</v>
      </c>
      <c r="H10" s="149">
        <f>'Data Sheet'!G24/'Data Sheet'!G$17</f>
        <v>4.4146660676264333E-2</v>
      </c>
      <c r="I10" s="149">
        <f>'Data Sheet'!H24/'Data Sheet'!H$17</f>
        <v>3.6419586094954687E-2</v>
      </c>
      <c r="J10" s="149">
        <f>'Data Sheet'!I24/'Data Sheet'!I$17</f>
        <v>4.4121781408655678E-2</v>
      </c>
      <c r="K10" s="149">
        <f>'Data Sheet'!J24/'Data Sheet'!J$17</f>
        <v>4.6685434680608623E-2</v>
      </c>
      <c r="L10" s="150">
        <f>'Data Sheet'!K24/'Data Sheet'!K$17</f>
        <v>4.4743848325937877E-2</v>
      </c>
    </row>
    <row r="11" spans="2:12" x14ac:dyDescent="0.45">
      <c r="B11" s="148" t="str">
        <f>'Data Sheet'!A25</f>
        <v>Other Income</v>
      </c>
      <c r="C11" s="149">
        <f>'Data Sheet'!B25/'Data Sheet'!B$17</f>
        <v>2.405142677955472E-2</v>
      </c>
      <c r="D11" s="149">
        <f>'Data Sheet'!C25/'Data Sheet'!C$17</f>
        <v>1.4685010861694424E-2</v>
      </c>
      <c r="E11" s="149">
        <f>'Data Sheet'!D25/'Data Sheet'!D$17</f>
        <v>1.1432607785684386E-2</v>
      </c>
      <c r="F11" s="149">
        <f>'Data Sheet'!E25/'Data Sheet'!E$17</f>
        <v>1.3819775686476731E-2</v>
      </c>
      <c r="G11" s="149">
        <f>'Data Sheet'!F25/'Data Sheet'!F$17</f>
        <v>6.217931994086442E-3</v>
      </c>
      <c r="H11" s="149">
        <f>'Data Sheet'!G25/'Data Sheet'!G$17</f>
        <v>7.0126775145039361E-3</v>
      </c>
      <c r="I11" s="149">
        <f>'Data Sheet'!H25/'Data Sheet'!H$17</f>
        <v>9.772758014337888E-3</v>
      </c>
      <c r="J11" s="149">
        <f>'Data Sheet'!I25/'Data Sheet'!I$17</f>
        <v>1.4619061006466124E-2</v>
      </c>
      <c r="K11" s="149">
        <f>'Data Sheet'!J25/'Data Sheet'!J$17</f>
        <v>2.7347677458274683E-2</v>
      </c>
      <c r="L11" s="150">
        <f>'Data Sheet'!K25/'Data Sheet'!K$17</f>
        <v>8.9907220653489314E-2</v>
      </c>
    </row>
    <row r="12" spans="2:12" x14ac:dyDescent="0.45">
      <c r="B12" s="148" t="str">
        <f>'Data Sheet'!A26</f>
        <v>Depreciation</v>
      </c>
      <c r="C12" s="149">
        <f>'Data Sheet'!B26/'Data Sheet'!B$17</f>
        <v>1.2417685794920037E-2</v>
      </c>
      <c r="D12" s="149">
        <f>'Data Sheet'!C26/'Data Sheet'!C$17</f>
        <v>1.384503982621289E-2</v>
      </c>
      <c r="E12" s="149">
        <f>'Data Sheet'!D26/'Data Sheet'!D$17</f>
        <v>1.3708664713269151E-2</v>
      </c>
      <c r="F12" s="149">
        <f>'Data Sheet'!E26/'Data Sheet'!E$17</f>
        <v>2.4184607451334279E-2</v>
      </c>
      <c r="G12" s="149">
        <f>'Data Sheet'!F26/'Data Sheet'!F$17</f>
        <v>2.2001913209844334E-2</v>
      </c>
      <c r="H12" s="149">
        <f>'Data Sheet'!G26/'Data Sheet'!G$17</f>
        <v>2.0022268669544666E-2</v>
      </c>
      <c r="I12" s="149">
        <f>'Data Sheet'!H26/'Data Sheet'!H$17</f>
        <v>1.7415122413093467E-2</v>
      </c>
      <c r="J12" s="149">
        <f>'Data Sheet'!I26/'Data Sheet'!I$17</f>
        <v>1.8141527063454E-2</v>
      </c>
      <c r="K12" s="149">
        <f>'Data Sheet'!J26/'Data Sheet'!J$17</f>
        <v>1.8801528252563846E-2</v>
      </c>
      <c r="L12" s="150">
        <f>'Data Sheet'!K26/'Data Sheet'!K$17</f>
        <v>1.9136748688987494E-2</v>
      </c>
    </row>
    <row r="13" spans="2:12" x14ac:dyDescent="0.45">
      <c r="B13" s="148" t="str">
        <f>'Data Sheet'!A27</f>
        <v>Interest</v>
      </c>
      <c r="C13" s="149">
        <f>'Data Sheet'!B27/'Data Sheet'!B$17</f>
        <v>6.8987143305111319E-4</v>
      </c>
      <c r="D13" s="149">
        <f>'Data Sheet'!C27/'Data Sheet'!C$17</f>
        <v>5.7929036929761039E-4</v>
      </c>
      <c r="E13" s="149">
        <f>'Data Sheet'!D27/'Data Sheet'!D$17</f>
        <v>7.3252406864796982E-4</v>
      </c>
      <c r="F13" s="149">
        <f>'Data Sheet'!E27/'Data Sheet'!E$17</f>
        <v>2.7330153409823384E-3</v>
      </c>
      <c r="G13" s="149">
        <f>'Data Sheet'!F27/'Data Sheet'!F$17</f>
        <v>2.3480302635011741E-3</v>
      </c>
      <c r="H13" s="149">
        <f>'Data Sheet'!G27/'Data Sheet'!G$17</f>
        <v>1.9143242240150021E-3</v>
      </c>
      <c r="I13" s="149">
        <f>'Data Sheet'!H27/'Data Sheet'!H$17</f>
        <v>1.707696469633437E-3</v>
      </c>
      <c r="J13" s="149">
        <f>'Data Sheet'!I27/'Data Sheet'!I$17</f>
        <v>4.994294597231639E-3</v>
      </c>
      <c r="K13" s="149">
        <f>'Data Sheet'!J27/'Data Sheet'!J$17</f>
        <v>5.865004356860379E-3</v>
      </c>
      <c r="L13" s="150">
        <f>'Data Sheet'!K27/'Data Sheet'!K$17</f>
        <v>5.857200484066156E-3</v>
      </c>
    </row>
    <row r="14" spans="2:12" x14ac:dyDescent="0.45">
      <c r="B14" s="148" t="str">
        <f>'Data Sheet'!A28</f>
        <v>Profit before tax</v>
      </c>
      <c r="C14" s="149">
        <f>'Data Sheet'!B28/'Data Sheet'!B$17</f>
        <v>0.20056444026340545</v>
      </c>
      <c r="D14" s="149">
        <f>'Data Sheet'!C28/'Data Sheet'!C$17</f>
        <v>0.2110065170166546</v>
      </c>
      <c r="E14" s="149">
        <f>'Data Sheet'!D28/'Data Sheet'!D$17</f>
        <v>0.22294893260778567</v>
      </c>
      <c r="F14" s="149">
        <f>'Data Sheet'!E28/'Data Sheet'!E$17</f>
        <v>0.23442052339822095</v>
      </c>
      <c r="G14" s="149">
        <f>'Data Sheet'!F28/'Data Sheet'!F$17</f>
        <v>0.22806330985303069</v>
      </c>
      <c r="H14" s="149">
        <f>'Data Sheet'!G28/'Data Sheet'!G$17</f>
        <v>0.22930869454808275</v>
      </c>
      <c r="I14" s="149">
        <f>'Data Sheet'!H28/'Data Sheet'!H$17</f>
        <v>0.22113823887461112</v>
      </c>
      <c r="J14" s="149">
        <f>'Data Sheet'!I28/'Data Sheet'!I$17</f>
        <v>0.22614893581835321</v>
      </c>
      <c r="K14" s="149">
        <f>'Data Sheet'!J28/'Data Sheet'!J$17</f>
        <v>0.23969434948723103</v>
      </c>
      <c r="L14" s="150">
        <f>'Data Sheet'!K28/'Data Sheet'!K$17</f>
        <v>0.29829770068576039</v>
      </c>
    </row>
    <row r="15" spans="2:12" x14ac:dyDescent="0.45">
      <c r="B15" s="148" t="str">
        <f>'Data Sheet'!A29</f>
        <v>Tax</v>
      </c>
      <c r="C15" s="149">
        <f>'Data Sheet'!B29/'Data Sheet'!B$17</f>
        <v>5.9767952336155533E-2</v>
      </c>
      <c r="D15" s="149">
        <f>'Data Sheet'!C29/'Data Sheet'!C$17</f>
        <v>5.9319333816075306E-2</v>
      </c>
      <c r="E15" s="149">
        <f>'Data Sheet'!D29/'Data Sheet'!D$17</f>
        <v>6.5037672666387616E-2</v>
      </c>
      <c r="F15" s="149">
        <f>'Data Sheet'!E29/'Data Sheet'!E$17</f>
        <v>6.0693567100683257E-2</v>
      </c>
      <c r="G15" s="149">
        <f>'Data Sheet'!F29/'Data Sheet'!F$17</f>
        <v>5.5135229150360898E-2</v>
      </c>
      <c r="H15" s="149">
        <f>'Data Sheet'!G29/'Data Sheet'!G$17</f>
        <v>5.7058582228038987E-2</v>
      </c>
      <c r="I15" s="149">
        <f>'Data Sheet'!H29/'Data Sheet'!H$17</f>
        <v>5.2701880156905183E-2</v>
      </c>
      <c r="J15" s="149">
        <f>'Data Sheet'!I29/'Data Sheet'!I$17</f>
        <v>5.888967900907903E-2</v>
      </c>
      <c r="K15" s="149">
        <f>'Data Sheet'!J29/'Data Sheet'!J$17</f>
        <v>6.1331188417454253E-2</v>
      </c>
      <c r="L15" s="150">
        <f>'Data Sheet'!K29/'Data Sheet'!K$17</f>
        <v>4.9374747882210572E-2</v>
      </c>
    </row>
    <row r="16" spans="2:12" x14ac:dyDescent="0.45">
      <c r="B16" s="148" t="str">
        <f>'Data Sheet'!A30</f>
        <v>Net profit</v>
      </c>
      <c r="C16" s="149">
        <f>'Data Sheet'!B30/'Data Sheet'!B$17</f>
        <v>0.14079648792724991</v>
      </c>
      <c r="D16" s="149">
        <f>'Data Sheet'!C30/'Data Sheet'!C$17</f>
        <v>0.15168718320057928</v>
      </c>
      <c r="E16" s="149">
        <f>'Data Sheet'!D30/'Data Sheet'!D$17</f>
        <v>0.15791125994139807</v>
      </c>
      <c r="F16" s="149">
        <f>'Data Sheet'!E30/'Data Sheet'!E$17</f>
        <v>0.1737269562975377</v>
      </c>
      <c r="G16" s="149">
        <f>'Data Sheet'!F30/'Data Sheet'!F$17</f>
        <v>0.1729280807026698</v>
      </c>
      <c r="H16" s="149">
        <f>'Data Sheet'!G30/'Data Sheet'!G$17</f>
        <v>0.17225011232004375</v>
      </c>
      <c r="I16" s="149">
        <f>'Data Sheet'!H30/'Data Sheet'!H$17</f>
        <v>0.16843635871770593</v>
      </c>
      <c r="J16" s="149">
        <f>'Data Sheet'!I30/'Data Sheet'!I$17</f>
        <v>0.16725925680927417</v>
      </c>
      <c r="K16" s="149">
        <f>'Data Sheet'!J30/'Data Sheet'!J$17</f>
        <v>0.17836316106977679</v>
      </c>
      <c r="L16" s="150">
        <f>'Data Sheet'!K30/'Data Sheet'!K$17</f>
        <v>0.24892295280354981</v>
      </c>
    </row>
    <row r="17" spans="2:12" x14ac:dyDescent="0.45">
      <c r="B17" s="148" t="str">
        <f>'Data Sheet'!A31</f>
        <v>Dividend Amount</v>
      </c>
      <c r="C17" s="149">
        <f>'Data Sheet'!B31/'Data Sheet'!B$17</f>
        <v>0.11514581373471308</v>
      </c>
      <c r="D17" s="149">
        <f>'Data Sheet'!C31/'Data Sheet'!C$17</f>
        <v>0.12512671976828385</v>
      </c>
      <c r="E17" s="149">
        <f>'Data Sheet'!D31/'Data Sheet'!D$17</f>
        <v>0.1243197990791126</v>
      </c>
      <c r="F17" s="149">
        <f>'Data Sheet'!E31/'Data Sheet'!E$17</f>
        <v>0.13922908340853424</v>
      </c>
      <c r="G17" s="149">
        <f>'Data Sheet'!F31/'Data Sheet'!F$17</f>
        <v>0.20692016697104096</v>
      </c>
      <c r="H17" s="149">
        <f>'Data Sheet'!G31/'Data Sheet'!G$17</f>
        <v>0.1560760260191823</v>
      </c>
      <c r="I17" s="149">
        <f>'Data Sheet'!H31/'Data Sheet'!H$17</f>
        <v>0.15496077370485595</v>
      </c>
      <c r="J17" s="149">
        <f>'Data Sheet'!I31/'Data Sheet'!I$17</f>
        <v>0.16322413137310027</v>
      </c>
      <c r="K17" s="149">
        <f>'Data Sheet'!J31/'Data Sheet'!J$17</f>
        <v>0.20871036932770293</v>
      </c>
      <c r="L17" s="150">
        <f>'Data Sheet'!K31/'Data Sheet'!K$17</f>
        <v>0.15546591367486889</v>
      </c>
    </row>
    <row r="18" spans="2:12" x14ac:dyDescent="0.45">
      <c r="B18" s="148" t="str">
        <f>'Data Sheet'!A32</f>
        <v>EBITDA</v>
      </c>
      <c r="C18" s="149">
        <f>'Data Sheet'!B32/'Data Sheet'!B$17</f>
        <v>0.21367199749137661</v>
      </c>
      <c r="D18" s="149">
        <f>'Data Sheet'!C32/'Data Sheet'!C$17</f>
        <v>0.22543084721216511</v>
      </c>
      <c r="E18" s="149">
        <f>'Data Sheet'!D32/'Data Sheet'!D$17</f>
        <v>0.23739012138970281</v>
      </c>
      <c r="F18" s="149">
        <f>'Data Sheet'!E32/'Data Sheet'!E$17</f>
        <v>0.26133814619053758</v>
      </c>
      <c r="G18" s="149">
        <f>'Data Sheet'!F32/'Data Sheet'!F$17</f>
        <v>0.25241325332637621</v>
      </c>
      <c r="H18" s="149">
        <f>'Data Sheet'!G32/'Data Sheet'!G$17</f>
        <v>0.25124528744164243</v>
      </c>
      <c r="I18" s="149">
        <f>'Data Sheet'!H32/'Data Sheet'!H$17</f>
        <v>0.24026105775733803</v>
      </c>
      <c r="J18" s="149">
        <f>'Data Sheet'!I32/'Data Sheet'!I$17</f>
        <v>0.24928475747903886</v>
      </c>
      <c r="K18" s="149">
        <f>'Data Sheet'!J32/'Data Sheet'!J$17</f>
        <v>0.26436088209665526</v>
      </c>
      <c r="L18" s="150">
        <f>'Data Sheet'!K32/'Data Sheet'!K$17</f>
        <v>0.32329164985881403</v>
      </c>
    </row>
    <row r="19" spans="2:12" ht="14.65" thickBot="1" x14ac:dyDescent="0.5">
      <c r="B19" s="151" t="str">
        <f>'Data Sheet'!A33</f>
        <v xml:space="preserve">EBIT </v>
      </c>
      <c r="C19" s="152">
        <f>'Data Sheet'!B33/'Data Sheet'!B$17</f>
        <v>0.20125431169645658</v>
      </c>
      <c r="D19" s="152">
        <f>'Data Sheet'!C33/'Data Sheet'!C$17</f>
        <v>0.2115858073859522</v>
      </c>
      <c r="E19" s="152">
        <f>'Data Sheet'!D33/'Data Sheet'!D$17</f>
        <v>0.22368145667643366</v>
      </c>
      <c r="F19" s="152">
        <f>'Data Sheet'!E33/'Data Sheet'!E$17</f>
        <v>0.23715353873920331</v>
      </c>
      <c r="G19" s="152">
        <f>'Data Sheet'!F33/'Data Sheet'!F$17</f>
        <v>0.23041134011653186</v>
      </c>
      <c r="H19" s="152">
        <f>'Data Sheet'!G33/'Data Sheet'!G$17</f>
        <v>0.23122301877209775</v>
      </c>
      <c r="I19" s="152">
        <f>'Data Sheet'!H33/'Data Sheet'!H$17</f>
        <v>0.22284593534424454</v>
      </c>
      <c r="J19" s="152">
        <f>'Data Sheet'!I33/'Data Sheet'!I$17</f>
        <v>0.23114323041558485</v>
      </c>
      <c r="K19" s="152">
        <f>'Data Sheet'!J33/'Data Sheet'!J$17</f>
        <v>0.24555935384409142</v>
      </c>
      <c r="L19" s="153">
        <f>'Data Sheet'!K33/'Data Sheet'!K$17</f>
        <v>0.30415490116982652</v>
      </c>
    </row>
    <row r="22" spans="2:12" ht="18" x14ac:dyDescent="0.55000000000000004">
      <c r="B22" s="236" t="str">
        <f>"Common Size Balance Sheet for "&amp;'Data Sheet'!B1</f>
        <v>Common Size Balance Sheet for HINDUSTAN UNILEVER LTD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37"/>
    </row>
    <row r="23" spans="2:12" ht="15.75" x14ac:dyDescent="0.5">
      <c r="B23" s="146" t="str">
        <f>'Historical Financial Statement'!B2</f>
        <v>Report Date</v>
      </c>
      <c r="C23" s="55">
        <f>'Historical Financial Statement'!C2</f>
        <v>42825</v>
      </c>
      <c r="D23" s="55">
        <f>'Historical Financial Statement'!D2</f>
        <v>43190</v>
      </c>
      <c r="E23" s="55">
        <f>'Historical Financial Statement'!E2</f>
        <v>43555</v>
      </c>
      <c r="F23" s="55">
        <f>'Historical Financial Statement'!F2</f>
        <v>43921</v>
      </c>
      <c r="G23" s="55">
        <f>'Historical Financial Statement'!G2</f>
        <v>44286</v>
      </c>
      <c r="H23" s="55">
        <f>'Historical Financial Statement'!H2</f>
        <v>44651</v>
      </c>
      <c r="I23" s="55">
        <f>'Historical Financial Statement'!I2</f>
        <v>45016</v>
      </c>
      <c r="J23" s="55">
        <f>'Historical Financial Statement'!J2</f>
        <v>45382</v>
      </c>
      <c r="K23" s="55">
        <f>'Historical Financial Statement'!K2</f>
        <v>45747</v>
      </c>
      <c r="L23" s="147">
        <f>'Historical Financial Statement'!L2</f>
        <v>46112</v>
      </c>
    </row>
    <row r="24" spans="2:12" x14ac:dyDescent="0.45">
      <c r="B24" s="148" t="str">
        <f>'Data Sheet'!A57</f>
        <v>Equity Share Capital</v>
      </c>
      <c r="C24" s="149">
        <f>'Data Sheet'!B57/'Data Sheet'!B$61</f>
        <v>1.464307504575961E-2</v>
      </c>
      <c r="D24" s="149">
        <f>'Data Sheet'!C57/'Data Sheet'!C$61</f>
        <v>1.2595486617295469E-2</v>
      </c>
      <c r="E24" s="149">
        <f>'Data Sheet'!D57/'Data Sheet'!D$61</f>
        <v>1.2090680100755667E-2</v>
      </c>
      <c r="F24" s="149">
        <f>'Data Sheet'!E57/'Data Sheet'!E$61</f>
        <v>1.1019283746556474E-2</v>
      </c>
      <c r="G24" s="149">
        <f>'Data Sheet'!F57/'Data Sheet'!F$61</f>
        <v>3.449997063832286E-3</v>
      </c>
      <c r="H24" s="149">
        <f>'Data Sheet'!G57/'Data Sheet'!G$61</f>
        <v>3.3698036910105107E-3</v>
      </c>
      <c r="I24" s="149">
        <f>'Data Sheet'!H57/'Data Sheet'!H$61</f>
        <v>3.2718412808910545E-3</v>
      </c>
      <c r="J24" s="149">
        <f>'Data Sheet'!I57/'Data Sheet'!I$61</f>
        <v>3.0489387098448285E-3</v>
      </c>
      <c r="K24" s="149">
        <f>'Data Sheet'!J57/'Data Sheet'!J$61</f>
        <v>3.0007789255934521E-3</v>
      </c>
      <c r="L24" s="150">
        <f>'Data Sheet'!K57/'Data Sheet'!K$61</f>
        <v>3.0135159395757996E-3</v>
      </c>
    </row>
    <row r="25" spans="2:12" x14ac:dyDescent="0.45">
      <c r="B25" s="148" t="str">
        <f>'Data Sheet'!A58</f>
        <v>Reserves</v>
      </c>
      <c r="C25" s="149">
        <f>'Data Sheet'!B58/'Data Sheet'!B$61</f>
        <v>0.42532709646803607</v>
      </c>
      <c r="D25" s="149">
        <f>'Data Sheet'!C58/'Data Sheet'!C$61</f>
        <v>0.3999650125371742</v>
      </c>
      <c r="E25" s="149">
        <f>'Data Sheet'!D58/'Data Sheet'!D$61</f>
        <v>0.41662468513853906</v>
      </c>
      <c r="F25" s="149">
        <f>'Data Sheet'!E58/'Data Sheet'!E$61</f>
        <v>0.39868380777471685</v>
      </c>
      <c r="G25" s="149">
        <f>'Data Sheet'!F58/'Data Sheet'!F$61</f>
        <v>0.69292089964178749</v>
      </c>
      <c r="H25" s="149">
        <f>'Data Sheet'!G58/'Data Sheet'!G$61</f>
        <v>0.69582861321823419</v>
      </c>
      <c r="I25" s="149">
        <f>'Data Sheet'!H58/'Data Sheet'!H$61</f>
        <v>0.69594152453880964</v>
      </c>
      <c r="J25" s="149">
        <f>'Data Sheet'!I58/'Data Sheet'!I$61</f>
        <v>0.65828532876641233</v>
      </c>
      <c r="K25" s="149">
        <f>'Data Sheet'!J58/'Data Sheet'!J$61</f>
        <v>0.62464724886034251</v>
      </c>
      <c r="L25" s="150">
        <f>'Data Sheet'!K58/'Data Sheet'!K$61</f>
        <v>0.62819625041676286</v>
      </c>
    </row>
    <row r="26" spans="2:12" x14ac:dyDescent="0.45">
      <c r="B26" s="148" t="str">
        <f>'Data Sheet'!A59</f>
        <v>Borrowings</v>
      </c>
      <c r="C26" s="149">
        <f>'Data Sheet'!B59/'Data Sheet'!B$61</f>
        <v>0</v>
      </c>
      <c r="D26" s="149">
        <f>'Data Sheet'!C59/'Data Sheet'!C$61</f>
        <v>0</v>
      </c>
      <c r="E26" s="149">
        <f>'Data Sheet'!D59/'Data Sheet'!D$61</f>
        <v>0</v>
      </c>
      <c r="F26" s="149">
        <f>'Data Sheet'!E59/'Data Sheet'!E$61</f>
        <v>0</v>
      </c>
      <c r="G26" s="149">
        <f>'Data Sheet'!F59/'Data Sheet'!F$61</f>
        <v>1.3844030771037642E-2</v>
      </c>
      <c r="H26" s="149">
        <f>'Data Sheet'!G59/'Data Sheet'!G$61</f>
        <v>1.3923742059451941E-2</v>
      </c>
      <c r="I26" s="149">
        <f>'Data Sheet'!H59/'Data Sheet'!H$61</f>
        <v>1.4465715280194918E-2</v>
      </c>
      <c r="J26" s="149">
        <f>'Data Sheet'!I59/'Data Sheet'!I$61</f>
        <v>1.7826560797135294E-2</v>
      </c>
      <c r="K26" s="149">
        <f>'Data Sheet'!J59/'Data Sheet'!J$61</f>
        <v>1.9626371100583555E-2</v>
      </c>
      <c r="L26" s="150">
        <f>'Data Sheet'!K59/'Data Sheet'!K$61</f>
        <v>1.6991100510374189E-2</v>
      </c>
    </row>
    <row r="27" spans="2:12" x14ac:dyDescent="0.45">
      <c r="B27" s="148" t="str">
        <f>'Data Sheet'!A60</f>
        <v>Other Liabilities</v>
      </c>
      <c r="C27" s="149">
        <f>'Data Sheet'!B60/'Data Sheet'!B$61</f>
        <v>0.56002982848620431</v>
      </c>
      <c r="D27" s="149">
        <f>'Data Sheet'!C60/'Data Sheet'!C$61</f>
        <v>0.58743950084553032</v>
      </c>
      <c r="E27" s="149">
        <f>'Data Sheet'!D60/'Data Sheet'!D$61</f>
        <v>0.57128463476070523</v>
      </c>
      <c r="F27" s="149">
        <f>'Data Sheet'!E60/'Data Sheet'!E$61</f>
        <v>0.59029690847872662</v>
      </c>
      <c r="G27" s="149">
        <f>'Data Sheet'!F60/'Data Sheet'!F$61</f>
        <v>0.28978507252334251</v>
      </c>
      <c r="H27" s="149">
        <f>'Data Sheet'!G60/'Data Sheet'!G$61</f>
        <v>0.28687784103130332</v>
      </c>
      <c r="I27" s="149">
        <f>'Data Sheet'!H60/'Data Sheet'!H$61</f>
        <v>0.28632091890010442</v>
      </c>
      <c r="J27" s="149">
        <f>'Data Sheet'!I60/'Data Sheet'!I$61</f>
        <v>0.32083917172660753</v>
      </c>
      <c r="K27" s="149">
        <f>'Data Sheet'!J60/'Data Sheet'!J$61</f>
        <v>0.3527256011134805</v>
      </c>
      <c r="L27" s="150">
        <f>'Data Sheet'!K60/'Data Sheet'!K$61</f>
        <v>0.35179913313328715</v>
      </c>
    </row>
    <row r="28" spans="2:12" ht="14.65" thickBot="1" x14ac:dyDescent="0.5">
      <c r="B28" s="148"/>
      <c r="C28" s="149"/>
      <c r="D28" s="149"/>
      <c r="E28" s="149"/>
      <c r="F28" s="149"/>
      <c r="G28" s="149"/>
      <c r="H28" s="149"/>
      <c r="I28" s="149"/>
      <c r="J28" s="149"/>
      <c r="K28" s="149"/>
      <c r="L28" s="150"/>
    </row>
    <row r="29" spans="2:12" s="2" customFormat="1" ht="14.65" thickBot="1" x14ac:dyDescent="0.5">
      <c r="B29" s="158" t="str">
        <f>'Data Sheet'!A61&amp;" Liabilities"</f>
        <v>Total Liabilities</v>
      </c>
      <c r="C29" s="159">
        <f>'Data Sheet'!B61/'Data Sheet'!B$61</f>
        <v>1</v>
      </c>
      <c r="D29" s="159">
        <f>'Data Sheet'!C61/'Data Sheet'!C$61</f>
        <v>1</v>
      </c>
      <c r="E29" s="159">
        <f>'Data Sheet'!D61/'Data Sheet'!D$61</f>
        <v>1</v>
      </c>
      <c r="F29" s="159">
        <f>'Data Sheet'!E61/'Data Sheet'!E$61</f>
        <v>1</v>
      </c>
      <c r="G29" s="159">
        <f>'Data Sheet'!F61/'Data Sheet'!F$61</f>
        <v>1</v>
      </c>
      <c r="H29" s="159">
        <f>'Data Sheet'!G61/'Data Sheet'!G$61</f>
        <v>1</v>
      </c>
      <c r="I29" s="159">
        <f>'Data Sheet'!H61/'Data Sheet'!H$61</f>
        <v>1</v>
      </c>
      <c r="J29" s="159">
        <f>'Data Sheet'!I61/'Data Sheet'!I$61</f>
        <v>1</v>
      </c>
      <c r="K29" s="159">
        <f>'Data Sheet'!J61/'Data Sheet'!J$61</f>
        <v>1</v>
      </c>
      <c r="L29" s="160">
        <f>'Data Sheet'!K61/'Data Sheet'!K$61</f>
        <v>1</v>
      </c>
    </row>
    <row r="30" spans="2:12" x14ac:dyDescent="0.45">
      <c r="B30" s="148"/>
      <c r="C30" s="149"/>
      <c r="D30" s="149"/>
      <c r="E30" s="149"/>
      <c r="F30" s="149"/>
      <c r="G30" s="149"/>
      <c r="H30" s="149"/>
      <c r="I30" s="149"/>
      <c r="J30" s="149"/>
      <c r="K30" s="149"/>
      <c r="L30" s="150"/>
    </row>
    <row r="31" spans="2:12" x14ac:dyDescent="0.45">
      <c r="B31" s="148" t="str">
        <f>'Data Sheet'!A62</f>
        <v>Net Block</v>
      </c>
      <c r="C31" s="149">
        <f>'Data Sheet'!B62/'Data Sheet'!B$66</f>
        <v>0.27279506474137344</v>
      </c>
      <c r="D31" s="149">
        <f>'Data Sheet'!C62/'Data Sheet'!C$66</f>
        <v>0.24153011837424923</v>
      </c>
      <c r="E31" s="149">
        <f>'Data Sheet'!D62/'Data Sheet'!D$66</f>
        <v>0.24310103554436049</v>
      </c>
      <c r="F31" s="149">
        <f>'Data Sheet'!E62/'Data Sheet'!E$66</f>
        <v>0.25793286399347004</v>
      </c>
      <c r="G31" s="149">
        <f>'Data Sheet'!F62/'Data Sheet'!F$66</f>
        <v>0.74911914968583004</v>
      </c>
      <c r="H31" s="149">
        <f>'Data Sheet'!G62/'Data Sheet'!G$66</f>
        <v>0.73180664496608683</v>
      </c>
      <c r="I31" s="149">
        <f>'Data Sheet'!H62/'Data Sheet'!H$66</f>
        <v>0.71569787678384966</v>
      </c>
      <c r="J31" s="149">
        <f>'Data Sheet'!I62/'Data Sheet'!I$66</f>
        <v>0.67957600290622244</v>
      </c>
      <c r="K31" s="149">
        <f>'Data Sheet'!J62/'Data Sheet'!J$66</f>
        <v>0.67558387496328831</v>
      </c>
      <c r="L31" s="150">
        <f>'Data Sheet'!K62/'Data Sheet'!K$66</f>
        <v>0.67219358313456956</v>
      </c>
    </row>
    <row r="32" spans="2:12" x14ac:dyDescent="0.45">
      <c r="B32" s="148" t="str">
        <f>'Data Sheet'!A63</f>
        <v>Capital Work in Progress</v>
      </c>
      <c r="C32" s="149">
        <f>'Data Sheet'!B63/'Data Sheet'!B$66</f>
        <v>1.3761778862450003E-2</v>
      </c>
      <c r="D32" s="149">
        <f>'Data Sheet'!C63/'Data Sheet'!C$66</f>
        <v>2.5074348358504868E-2</v>
      </c>
      <c r="E32" s="149">
        <f>'Data Sheet'!D63/'Data Sheet'!D$66</f>
        <v>2.087881332213826E-2</v>
      </c>
      <c r="F32" s="149">
        <f>'Data Sheet'!E63/'Data Sheet'!E$66</f>
        <v>2.6170798898071626E-2</v>
      </c>
      <c r="G32" s="149">
        <f>'Data Sheet'!F63/'Data Sheet'!F$66</f>
        <v>9.1461624287979323E-3</v>
      </c>
      <c r="H32" s="149">
        <f>'Data Sheet'!G63/'Data Sheet'!G$66</f>
        <v>1.2919970747236043E-2</v>
      </c>
      <c r="I32" s="149">
        <f>'Data Sheet'!H63/'Data Sheet'!H$66</f>
        <v>1.4201183431952662E-2</v>
      </c>
      <c r="J32" s="149">
        <f>'Data Sheet'!I63/'Data Sheet'!I$66</f>
        <v>1.1871399657480929E-2</v>
      </c>
      <c r="K32" s="149">
        <f>'Data Sheet'!J63/'Data Sheet'!J$66</f>
        <v>1.2207424054754638E-2</v>
      </c>
      <c r="L32" s="150">
        <f>'Data Sheet'!K63/'Data Sheet'!K$66</f>
        <v>1.0681952245389962E-2</v>
      </c>
    </row>
    <row r="33" spans="2:12" x14ac:dyDescent="0.45">
      <c r="B33" s="148" t="str">
        <f>'Data Sheet'!A64</f>
        <v>Investments</v>
      </c>
      <c r="C33" s="149">
        <f>'Data Sheet'!B64/'Data Sheet'!B$66</f>
        <v>0.25618602128669243</v>
      </c>
      <c r="D33" s="149">
        <f>'Data Sheet'!C64/'Data Sheet'!C$66</f>
        <v>0.18140999475188058</v>
      </c>
      <c r="E33" s="149">
        <f>'Data Sheet'!D64/'Data Sheet'!D$66</f>
        <v>0.16507136859781696</v>
      </c>
      <c r="F33" s="149">
        <f>'Data Sheet'!E64/'Data Sheet'!E$66</f>
        <v>7.6522803795531072E-2</v>
      </c>
      <c r="G33" s="149">
        <f>'Data Sheet'!F64/'Data Sheet'!F$66</f>
        <v>4.3969111515649771E-2</v>
      </c>
      <c r="H33" s="149">
        <f>'Data Sheet'!G64/'Data Sheet'!G$66</f>
        <v>5.9107790699341814E-2</v>
      </c>
      <c r="I33" s="149">
        <f>'Data Sheet'!H64/'Data Sheet'!H$66</f>
        <v>5.2822833275321966E-2</v>
      </c>
      <c r="J33" s="149">
        <f>'Data Sheet'!I64/'Data Sheet'!I$66</f>
        <v>7.126732056671338E-2</v>
      </c>
      <c r="K33" s="149">
        <f>'Data Sheet'!J64/'Data Sheet'!J$66</f>
        <v>5.8764189853536451E-2</v>
      </c>
      <c r="L33" s="150">
        <f>'Data Sheet'!K64/'Data Sheet'!K$66</f>
        <v>0.11385960862763202</v>
      </c>
    </row>
    <row r="34" spans="2:12" x14ac:dyDescent="0.45">
      <c r="B34" s="148" t="str">
        <f>'Data Sheet'!A65</f>
        <v>Other Assets</v>
      </c>
      <c r="C34" s="149">
        <f>'Data Sheet'!B74/'Data Sheet'!B$66</f>
        <v>0.12094095315571826</v>
      </c>
      <c r="D34" s="149">
        <f>'Data Sheet'!C74/'Data Sheet'!C$66</f>
        <v>0.15085427721733047</v>
      </c>
      <c r="E34" s="149">
        <f>'Data Sheet'!D74/'Data Sheet'!D$66</f>
        <v>0.13529247131262245</v>
      </c>
      <c r="F34" s="149">
        <f>'Data Sheet'!E74/'Data Sheet'!E$66</f>
        <v>0.19559228650137742</v>
      </c>
      <c r="G34" s="149">
        <f>'Data Sheet'!F74/'Data Sheet'!F$66</f>
        <v>6.0470374067766751E-2</v>
      </c>
      <c r="H34" s="149">
        <f>'Data Sheet'!G74/'Data Sheet'!G$66</f>
        <v>6.0799862339934327E-2</v>
      </c>
      <c r="I34" s="149">
        <f>'Data Sheet'!H74/'Data Sheet'!H$66</f>
        <v>6.1510616080751826E-2</v>
      </c>
      <c r="J34" s="149">
        <f>'Data Sheet'!I74/'Data Sheet'!I$66</f>
        <v>5.9305101458300896E-2</v>
      </c>
      <c r="K34" s="149">
        <f>'Data Sheet'!J74/'Data Sheet'!J$66</f>
        <v>6.313128088567671E-2</v>
      </c>
      <c r="L34" s="150">
        <f>'Data Sheet'!K74/'Data Sheet'!K$66</f>
        <v>7.1824267138570444E-2</v>
      </c>
    </row>
    <row r="35" spans="2:12" x14ac:dyDescent="0.45">
      <c r="B35" s="148" t="str">
        <f>'Data Sheet'!A67</f>
        <v>Receivables</v>
      </c>
      <c r="C35" s="149">
        <f>'Data Sheet'!B67/'Data Sheet'!B$66</f>
        <v>6.291098908548573E-2</v>
      </c>
      <c r="D35" s="149">
        <f>'Data Sheet'!C67/'Data Sheet'!C$66</f>
        <v>6.6884366435360665E-2</v>
      </c>
      <c r="E35" s="149">
        <f>'Data Sheet'!D67/'Data Sheet'!D$66</f>
        <v>9.3646795410019593E-2</v>
      </c>
      <c r="F35" s="149">
        <f>'Data Sheet'!E67/'Data Sheet'!E$66</f>
        <v>5.3361901846750333E-2</v>
      </c>
      <c r="G35" s="149">
        <f>'Data Sheet'!F67/'Data Sheet'!F$66</f>
        <v>2.41940219625345E-2</v>
      </c>
      <c r="H35" s="149">
        <f>'Data Sheet'!G67/'Data Sheet'!G$66</f>
        <v>2.7704088217158754E-2</v>
      </c>
      <c r="I35" s="149">
        <f>'Data Sheet'!H67/'Data Sheet'!H$66</f>
        <v>3.8078663418029936E-2</v>
      </c>
      <c r="J35" s="149">
        <f>'Data Sheet'!I67/'Data Sheet'!I$66</f>
        <v>3.4900617572266333E-2</v>
      </c>
      <c r="K35" s="149">
        <f>'Data Sheet'!J67/'Data Sheet'!J$66</f>
        <v>4.4053988482116634E-2</v>
      </c>
      <c r="L35" s="150">
        <f>'Data Sheet'!K67/'Data Sheet'!K$66</f>
        <v>3.894488471698597E-2</v>
      </c>
    </row>
    <row r="36" spans="2:12" x14ac:dyDescent="0.45">
      <c r="B36" s="148" t="str">
        <f>'Data Sheet'!A68</f>
        <v>Inventory</v>
      </c>
      <c r="C36" s="149">
        <f>'Data Sheet'!B68/'Data Sheet'!B$66</f>
        <v>0.16012473730594537</v>
      </c>
      <c r="D36" s="149">
        <f>'Data Sheet'!C68/'Data Sheet'!C$66</f>
        <v>0.13755904134351857</v>
      </c>
      <c r="E36" s="149">
        <f>'Data Sheet'!D68/'Data Sheet'!D$66</f>
        <v>0.13557234816680661</v>
      </c>
      <c r="F36" s="149">
        <f>'Data Sheet'!E68/'Data Sheet'!E$66</f>
        <v>0.13447607387001326</v>
      </c>
      <c r="G36" s="149">
        <f>'Data Sheet'!F68/'Data Sheet'!F$66</f>
        <v>4.9665276880615422E-2</v>
      </c>
      <c r="H36" s="149">
        <f>'Data Sheet'!G68/'Data Sheet'!G$66</f>
        <v>5.5781005778854843E-2</v>
      </c>
      <c r="I36" s="149">
        <f>'Data Sheet'!H68/'Data Sheet'!H$66</f>
        <v>5.6122520013922726E-2</v>
      </c>
      <c r="J36" s="149">
        <f>'Data Sheet'!I68/'Data Sheet'!I$66</f>
        <v>4.94576781358659E-2</v>
      </c>
      <c r="K36" s="149">
        <f>'Data Sheet'!J68/'Data Sheet'!J$66</f>
        <v>5.3132940891039801E-2</v>
      </c>
      <c r="L36" s="150">
        <f>'Data Sheet'!K68/'Data Sheet'!K$66</f>
        <v>5.620527814110949E-2</v>
      </c>
    </row>
    <row r="37" spans="2:12" x14ac:dyDescent="0.45">
      <c r="B37" s="148" t="str">
        <f>'Data Sheet'!A69</f>
        <v>Cash &amp; Bank</v>
      </c>
      <c r="C37" s="149">
        <f>'Data Sheet'!B69/'Data Sheet'!B$66</f>
        <v>0.11328045556233475</v>
      </c>
      <c r="D37" s="149">
        <f>'Data Sheet'!C69/'Data Sheet'!C$66</f>
        <v>0.19668785351915563</v>
      </c>
      <c r="E37" s="149">
        <f>'Data Sheet'!D69/'Data Sheet'!D$66</f>
        <v>0.20643716764623565</v>
      </c>
      <c r="F37" s="149">
        <f>'Data Sheet'!E69/'Data Sheet'!E$66</f>
        <v>0.25594327109478626</v>
      </c>
      <c r="G37" s="149">
        <f>'Data Sheet'!F69/'Data Sheet'!F$66</f>
        <v>6.3435903458805565E-2</v>
      </c>
      <c r="H37" s="149">
        <f>'Data Sheet'!G69/'Data Sheet'!G$66</f>
        <v>5.1880637251387356E-2</v>
      </c>
      <c r="I37" s="149">
        <f>'Data Sheet'!H69/'Data Sheet'!H$66</f>
        <v>6.1566306996171251E-2</v>
      </c>
      <c r="J37" s="149">
        <f>'Data Sheet'!I69/'Data Sheet'!I$66</f>
        <v>9.362187970315014E-2</v>
      </c>
      <c r="K37" s="149">
        <f>'Data Sheet'!J69/'Data Sheet'!J$66</f>
        <v>9.3126300869587425E-2</v>
      </c>
      <c r="L37" s="150">
        <f>'Data Sheet'!K69/'Data Sheet'!K$66</f>
        <v>3.6290425995742608E-2</v>
      </c>
    </row>
    <row r="38" spans="2:12" ht="14.65" thickBot="1" x14ac:dyDescent="0.5">
      <c r="B38" s="157"/>
      <c r="C38" s="149"/>
      <c r="D38" s="149"/>
      <c r="E38" s="149"/>
      <c r="F38" s="149"/>
      <c r="G38" s="149"/>
      <c r="H38" s="149"/>
      <c r="I38" s="149"/>
      <c r="J38" s="149"/>
      <c r="K38" s="149"/>
      <c r="L38" s="150"/>
    </row>
    <row r="39" spans="2:12" s="2" customFormat="1" ht="14.65" thickBot="1" x14ac:dyDescent="0.5">
      <c r="B39" s="158" t="str">
        <f>'Data Sheet'!A66&amp;" Assests"</f>
        <v>Total Assests</v>
      </c>
      <c r="C39" s="159">
        <f>'Data Sheet'!B66/'Data Sheet'!B$66</f>
        <v>1</v>
      </c>
      <c r="D39" s="159">
        <f>'Data Sheet'!C66/'Data Sheet'!C$66</f>
        <v>1</v>
      </c>
      <c r="E39" s="159">
        <f>'Data Sheet'!D66/'Data Sheet'!D$66</f>
        <v>1</v>
      </c>
      <c r="F39" s="159">
        <f>'Data Sheet'!E66/'Data Sheet'!E$66</f>
        <v>1</v>
      </c>
      <c r="G39" s="159">
        <f>'Data Sheet'!F66/'Data Sheet'!F$66</f>
        <v>1</v>
      </c>
      <c r="H39" s="159">
        <f>'Data Sheet'!G66/'Data Sheet'!G$66</f>
        <v>1</v>
      </c>
      <c r="I39" s="159">
        <f>'Data Sheet'!H66/'Data Sheet'!H$66</f>
        <v>1</v>
      </c>
      <c r="J39" s="159">
        <f>'Data Sheet'!I66/'Data Sheet'!I$66</f>
        <v>1</v>
      </c>
      <c r="K39" s="159">
        <f>'Data Sheet'!J66/'Data Sheet'!J$66</f>
        <v>1</v>
      </c>
      <c r="L39" s="160">
        <f>'Data Sheet'!K66/'Data Sheet'!K$66</f>
        <v>1</v>
      </c>
    </row>
  </sheetData>
  <mergeCells count="2">
    <mergeCell ref="B1:L1"/>
    <mergeCell ref="B22:L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08DC-B4E2-460B-AA40-7629213FAB9B}">
  <dimension ref="B1:O40"/>
  <sheetViews>
    <sheetView topLeftCell="B1" workbookViewId="0">
      <selection activeCell="C9" sqref="C9"/>
    </sheetView>
  </sheetViews>
  <sheetFormatPr defaultColWidth="9" defaultRowHeight="14.25" x14ac:dyDescent="0.45"/>
  <cols>
    <col min="1" max="1" width="1.73046875" style="21" customWidth="1"/>
    <col min="2" max="2" width="26.59765625" style="21" bestFit="1" customWidth="1"/>
    <col min="3" max="12" width="9.265625" style="21" bestFit="1" customWidth="1"/>
    <col min="13" max="16384" width="9" style="21"/>
  </cols>
  <sheetData>
    <row r="1" spans="2:15" s="11" customFormat="1" ht="15.75" x14ac:dyDescent="0.4">
      <c r="B1" s="9" t="s">
        <v>97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5" s="11" customFormat="1" ht="13.15" x14ac:dyDescent="0.4">
      <c r="B2" s="12" t="s">
        <v>96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5" s="11" customFormat="1" ht="13.15" x14ac:dyDescent="0.4">
      <c r="B3" s="12" t="s">
        <v>95</v>
      </c>
      <c r="C3" s="161">
        <v>6219</v>
      </c>
      <c r="D3" s="161">
        <v>7237</v>
      </c>
      <c r="E3" s="161">
        <v>8674</v>
      </c>
      <c r="F3" s="161">
        <v>9473</v>
      </c>
      <c r="G3" s="161">
        <v>11380</v>
      </c>
      <c r="H3" s="161">
        <v>12473</v>
      </c>
      <c r="I3" s="161">
        <v>13557</v>
      </c>
      <c r="J3" s="161">
        <v>14043</v>
      </c>
      <c r="K3" s="161">
        <v>14343</v>
      </c>
      <c r="L3" s="161">
        <v>14538</v>
      </c>
    </row>
    <row r="4" spans="2:15" s="11" customFormat="1" ht="13.15" x14ac:dyDescent="0.4">
      <c r="B4" s="12" t="s">
        <v>42</v>
      </c>
      <c r="C4" s="161">
        <v>131</v>
      </c>
      <c r="D4" s="161">
        <v>0</v>
      </c>
      <c r="E4" s="161">
        <v>0</v>
      </c>
      <c r="F4" s="161">
        <v>0</v>
      </c>
      <c r="G4" s="161">
        <v>0</v>
      </c>
      <c r="H4" s="161">
        <v>0</v>
      </c>
      <c r="I4" s="161">
        <v>0</v>
      </c>
      <c r="J4" s="161">
        <v>0</v>
      </c>
      <c r="K4" s="161">
        <v>0</v>
      </c>
      <c r="L4" s="161">
        <v>0</v>
      </c>
    </row>
    <row r="5" spans="2:15" s="11" customFormat="1" ht="13.15" x14ac:dyDescent="0.4">
      <c r="B5" s="12" t="s">
        <v>29</v>
      </c>
      <c r="C5" s="161">
        <v>38</v>
      </c>
      <c r="D5" s="161">
        <v>-162</v>
      </c>
      <c r="E5" s="161">
        <v>-195</v>
      </c>
      <c r="F5" s="161">
        <v>-369</v>
      </c>
      <c r="G5" s="161">
        <v>-472</v>
      </c>
      <c r="H5" s="161">
        <v>-737</v>
      </c>
      <c r="I5" s="161">
        <v>-332</v>
      </c>
      <c r="J5" s="161">
        <v>77</v>
      </c>
      <c r="K5" s="161">
        <v>-540</v>
      </c>
      <c r="L5" s="161">
        <v>-630</v>
      </c>
    </row>
    <row r="6" spans="2:15" s="11" customFormat="1" ht="13.15" x14ac:dyDescent="0.4">
      <c r="B6" s="12" t="s">
        <v>94</v>
      </c>
      <c r="C6" s="161">
        <v>508</v>
      </c>
      <c r="D6" s="161">
        <v>0</v>
      </c>
      <c r="E6" s="161">
        <v>0</v>
      </c>
      <c r="F6" s="161">
        <v>0</v>
      </c>
      <c r="G6" s="161">
        <v>0</v>
      </c>
      <c r="H6" s="161">
        <v>0</v>
      </c>
      <c r="I6" s="161">
        <v>0</v>
      </c>
      <c r="J6" s="161">
        <v>0</v>
      </c>
      <c r="K6" s="161">
        <v>0</v>
      </c>
      <c r="L6" s="161">
        <v>0</v>
      </c>
    </row>
    <row r="7" spans="2:15" s="11" customFormat="1" ht="13.15" x14ac:dyDescent="0.4">
      <c r="B7" s="12" t="s">
        <v>93</v>
      </c>
      <c r="C7" s="161">
        <v>-46</v>
      </c>
      <c r="D7" s="161">
        <v>0</v>
      </c>
      <c r="E7" s="161">
        <v>0</v>
      </c>
      <c r="F7" s="161">
        <v>0</v>
      </c>
      <c r="G7" s="161">
        <v>0</v>
      </c>
      <c r="H7" s="161">
        <v>0</v>
      </c>
      <c r="I7" s="161">
        <v>0</v>
      </c>
      <c r="J7" s="161">
        <v>0</v>
      </c>
      <c r="K7" s="161">
        <v>0</v>
      </c>
      <c r="L7" s="161">
        <v>0</v>
      </c>
    </row>
    <row r="8" spans="2:15" s="11" customFormat="1" ht="13.15" x14ac:dyDescent="0.4">
      <c r="B8" s="12" t="s">
        <v>92</v>
      </c>
      <c r="C8" s="161">
        <v>-93</v>
      </c>
      <c r="D8" s="161">
        <v>1026</v>
      </c>
      <c r="E8" s="161">
        <v>-66</v>
      </c>
      <c r="F8" s="161">
        <v>666</v>
      </c>
      <c r="G8" s="161">
        <v>416</v>
      </c>
      <c r="H8" s="161">
        <v>-52</v>
      </c>
      <c r="I8" s="161">
        <v>-531</v>
      </c>
      <c r="J8" s="161">
        <v>1059</v>
      </c>
      <c r="K8" s="161">
        <v>-14</v>
      </c>
      <c r="L8" s="161">
        <v>1314</v>
      </c>
    </row>
    <row r="9" spans="2:15" s="11" customFormat="1" ht="13.15" x14ac:dyDescent="0.4">
      <c r="B9" s="12" t="s">
        <v>91</v>
      </c>
      <c r="C9" s="13">
        <f t="shared" ref="C9:L9" si="0">SUM(C4:C8)</f>
        <v>538</v>
      </c>
      <c r="D9" s="13">
        <f t="shared" si="0"/>
        <v>864</v>
      </c>
      <c r="E9" s="13">
        <f t="shared" si="0"/>
        <v>-261</v>
      </c>
      <c r="F9" s="13">
        <f t="shared" si="0"/>
        <v>297</v>
      </c>
      <c r="G9" s="13">
        <f t="shared" si="0"/>
        <v>-56</v>
      </c>
      <c r="H9" s="13">
        <f t="shared" si="0"/>
        <v>-789</v>
      </c>
      <c r="I9" s="13">
        <f t="shared" si="0"/>
        <v>-863</v>
      </c>
      <c r="J9" s="13">
        <f t="shared" si="0"/>
        <v>1136</v>
      </c>
      <c r="K9" s="13">
        <f t="shared" si="0"/>
        <v>-554</v>
      </c>
      <c r="L9" s="13">
        <f t="shared" si="0"/>
        <v>684</v>
      </c>
    </row>
    <row r="10" spans="2:15" s="11" customFormat="1" ht="13.15" x14ac:dyDescent="0.4">
      <c r="B10" s="12" t="s">
        <v>90</v>
      </c>
      <c r="C10" s="161">
        <v>-1783</v>
      </c>
      <c r="D10" s="161">
        <v>-2188</v>
      </c>
      <c r="E10" s="161">
        <v>-2685</v>
      </c>
      <c r="F10" s="161">
        <v>-2465</v>
      </c>
      <c r="G10" s="161">
        <v>-2367</v>
      </c>
      <c r="H10" s="161">
        <v>-2720</v>
      </c>
      <c r="I10" s="161">
        <v>-3068</v>
      </c>
      <c r="J10" s="161">
        <v>-295</v>
      </c>
      <c r="K10" s="161">
        <v>-2183</v>
      </c>
      <c r="L10" s="161">
        <v>-4726</v>
      </c>
    </row>
    <row r="11" spans="2:15" s="11" customFormat="1" ht="13.5" thickBot="1" x14ac:dyDescent="0.45">
      <c r="B11" s="12" t="s">
        <v>89</v>
      </c>
      <c r="C11" s="161">
        <v>-21</v>
      </c>
      <c r="D11" s="161">
        <v>0</v>
      </c>
      <c r="E11" s="161">
        <v>0</v>
      </c>
      <c r="F11" s="161">
        <v>0</v>
      </c>
      <c r="G11" s="161">
        <v>0</v>
      </c>
      <c r="H11" s="161">
        <v>0</v>
      </c>
      <c r="I11" s="161">
        <v>0</v>
      </c>
      <c r="J11" s="161">
        <v>0</v>
      </c>
      <c r="K11" s="161">
        <v>0</v>
      </c>
      <c r="L11" s="161">
        <v>0</v>
      </c>
    </row>
    <row r="12" spans="2:15" s="16" customFormat="1" ht="13.15" x14ac:dyDescent="0.4">
      <c r="B12" s="14" t="s">
        <v>88</v>
      </c>
      <c r="C12" s="15">
        <f t="shared" ref="C12:L12" si="1">SUM(C3,C9:C11)</f>
        <v>4953</v>
      </c>
      <c r="D12" s="15">
        <f t="shared" si="1"/>
        <v>5913</v>
      </c>
      <c r="E12" s="15">
        <f t="shared" si="1"/>
        <v>5728</v>
      </c>
      <c r="F12" s="15">
        <f t="shared" si="1"/>
        <v>7305</v>
      </c>
      <c r="G12" s="15">
        <f t="shared" si="1"/>
        <v>8957</v>
      </c>
      <c r="H12" s="15">
        <f t="shared" si="1"/>
        <v>8964</v>
      </c>
      <c r="I12" s="15">
        <f t="shared" si="1"/>
        <v>9626</v>
      </c>
      <c r="J12" s="15">
        <f t="shared" si="1"/>
        <v>14884</v>
      </c>
      <c r="K12" s="15">
        <f t="shared" si="1"/>
        <v>11606</v>
      </c>
      <c r="L12" s="15">
        <f t="shared" si="1"/>
        <v>10496</v>
      </c>
      <c r="O12" s="22"/>
    </row>
    <row r="13" spans="2:15" s="11" customFormat="1" ht="13.15" x14ac:dyDescent="0.4">
      <c r="B13" s="12"/>
      <c r="C13" s="161"/>
      <c r="D13" s="161"/>
      <c r="E13" s="161"/>
      <c r="F13" s="161"/>
      <c r="G13" s="161"/>
      <c r="H13" s="161"/>
      <c r="I13" s="161"/>
      <c r="J13" s="161"/>
      <c r="K13" s="161"/>
      <c r="L13" s="161"/>
    </row>
    <row r="14" spans="2:15" s="11" customFormat="1" ht="13.15" x14ac:dyDescent="0.4">
      <c r="B14" s="12" t="s">
        <v>87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1"/>
    </row>
    <row r="15" spans="2:15" s="11" customFormat="1" ht="13.15" x14ac:dyDescent="0.4">
      <c r="B15" s="12" t="s">
        <v>86</v>
      </c>
      <c r="C15" s="161">
        <v>-1024</v>
      </c>
      <c r="D15" s="161">
        <v>-853</v>
      </c>
      <c r="E15" s="161">
        <v>-728</v>
      </c>
      <c r="F15" s="161">
        <v>-765</v>
      </c>
      <c r="G15" s="161">
        <v>-4051</v>
      </c>
      <c r="H15" s="161">
        <v>-919</v>
      </c>
      <c r="I15" s="161">
        <v>-1041</v>
      </c>
      <c r="J15" s="161">
        <v>-1318</v>
      </c>
      <c r="K15" s="161">
        <v>-1149</v>
      </c>
      <c r="L15" s="161">
        <v>-1274</v>
      </c>
    </row>
    <row r="16" spans="2:15" s="11" customFormat="1" ht="13.15" x14ac:dyDescent="0.4">
      <c r="B16" s="12" t="s">
        <v>85</v>
      </c>
      <c r="C16" s="161">
        <v>172</v>
      </c>
      <c r="D16" s="161">
        <v>26</v>
      </c>
      <c r="E16" s="161">
        <v>4</v>
      </c>
      <c r="F16" s="161">
        <v>52</v>
      </c>
      <c r="G16" s="161">
        <v>97</v>
      </c>
      <c r="H16" s="161">
        <v>175</v>
      </c>
      <c r="I16" s="161">
        <v>180</v>
      </c>
      <c r="J16" s="161">
        <v>20</v>
      </c>
      <c r="K16" s="161">
        <v>13</v>
      </c>
      <c r="L16" s="161">
        <v>29</v>
      </c>
    </row>
    <row r="17" spans="2:13" s="11" customFormat="1" ht="13.15" x14ac:dyDescent="0.4">
      <c r="B17" s="12" t="s">
        <v>84</v>
      </c>
      <c r="C17" s="161">
        <v>-26230</v>
      </c>
      <c r="D17" s="161">
        <v>-47755</v>
      </c>
      <c r="E17" s="161">
        <v>-70434</v>
      </c>
      <c r="F17" s="161">
        <v>-34074</v>
      </c>
      <c r="G17" s="161">
        <v>-38450</v>
      </c>
      <c r="H17" s="161">
        <v>-47928</v>
      </c>
      <c r="I17" s="161">
        <v>-22631</v>
      </c>
      <c r="J17" s="161">
        <v>-21198</v>
      </c>
      <c r="K17" s="161">
        <v>-20943</v>
      </c>
      <c r="L17" s="161">
        <v>-23058</v>
      </c>
    </row>
    <row r="18" spans="2:13" s="11" customFormat="1" ht="13.15" x14ac:dyDescent="0.4">
      <c r="B18" s="12" t="s">
        <v>83</v>
      </c>
      <c r="C18" s="161">
        <v>25260</v>
      </c>
      <c r="D18" s="161">
        <v>48534</v>
      </c>
      <c r="E18" s="161">
        <v>70761</v>
      </c>
      <c r="F18" s="161">
        <v>35656</v>
      </c>
      <c r="G18" s="161">
        <v>37076</v>
      </c>
      <c r="H18" s="161">
        <v>47173</v>
      </c>
      <c r="I18" s="161">
        <v>23363</v>
      </c>
      <c r="J18" s="161">
        <v>19752</v>
      </c>
      <c r="K18" s="161">
        <v>21984</v>
      </c>
      <c r="L18" s="161">
        <v>22609</v>
      </c>
    </row>
    <row r="19" spans="2:13" s="11" customFormat="1" ht="13.15" x14ac:dyDescent="0.4">
      <c r="B19" s="12" t="s">
        <v>82</v>
      </c>
      <c r="C19" s="161">
        <v>266</v>
      </c>
      <c r="D19" s="161">
        <v>229</v>
      </c>
      <c r="E19" s="161">
        <v>308</v>
      </c>
      <c r="F19" s="161">
        <v>359</v>
      </c>
      <c r="G19" s="161">
        <v>285</v>
      </c>
      <c r="H19" s="161">
        <v>171</v>
      </c>
      <c r="I19" s="161">
        <v>273</v>
      </c>
      <c r="J19" s="161">
        <v>417</v>
      </c>
      <c r="K19" s="161">
        <v>768</v>
      </c>
      <c r="L19" s="161">
        <v>431</v>
      </c>
    </row>
    <row r="20" spans="2:13" s="11" customFormat="1" ht="13.15" x14ac:dyDescent="0.4">
      <c r="B20" s="12" t="s">
        <v>81</v>
      </c>
      <c r="C20" s="161">
        <v>178</v>
      </c>
      <c r="D20" s="161">
        <v>190</v>
      </c>
      <c r="E20" s="161">
        <v>103</v>
      </c>
      <c r="F20" s="161">
        <v>96</v>
      </c>
      <c r="G20" s="161">
        <v>102</v>
      </c>
      <c r="H20" s="161">
        <v>131</v>
      </c>
      <c r="I20" s="161">
        <v>118</v>
      </c>
      <c r="J20" s="161">
        <v>176</v>
      </c>
      <c r="K20" s="161">
        <v>169</v>
      </c>
      <c r="L20" s="161">
        <v>230</v>
      </c>
    </row>
    <row r="21" spans="2:13" s="11" customFormat="1" ht="13.15" x14ac:dyDescent="0.4">
      <c r="B21" s="12" t="s">
        <v>80</v>
      </c>
      <c r="C21" s="161">
        <v>0</v>
      </c>
      <c r="D21" s="161">
        <v>0</v>
      </c>
      <c r="E21" s="161">
        <v>0</v>
      </c>
      <c r="F21" s="161">
        <v>0</v>
      </c>
      <c r="G21" s="161">
        <v>-60</v>
      </c>
      <c r="H21" s="161">
        <v>-300</v>
      </c>
      <c r="I21" s="161">
        <v>-264</v>
      </c>
      <c r="J21" s="161">
        <v>0</v>
      </c>
      <c r="K21" s="161">
        <v>-5</v>
      </c>
      <c r="L21" s="161">
        <v>-3530</v>
      </c>
    </row>
    <row r="22" spans="2:13" s="11" customFormat="1" ht="13.15" x14ac:dyDescent="0.4">
      <c r="B22" s="12" t="s">
        <v>79</v>
      </c>
      <c r="C22" s="161">
        <v>-84</v>
      </c>
      <c r="D22" s="161">
        <v>-183</v>
      </c>
      <c r="E22" s="161">
        <v>-248</v>
      </c>
      <c r="F22" s="161">
        <v>-292</v>
      </c>
      <c r="G22" s="161">
        <v>-180</v>
      </c>
      <c r="H22" s="161">
        <v>-436</v>
      </c>
      <c r="I22" s="161">
        <v>-493</v>
      </c>
      <c r="J22" s="161">
        <v>-431</v>
      </c>
      <c r="K22" s="161">
        <v>-362</v>
      </c>
      <c r="L22" s="161">
        <v>-171</v>
      </c>
    </row>
    <row r="23" spans="2:13" s="11" customFormat="1" ht="13.15" x14ac:dyDescent="0.4">
      <c r="B23" s="12" t="s">
        <v>78</v>
      </c>
      <c r="C23" s="161">
        <v>20</v>
      </c>
      <c r="D23" s="161">
        <v>73</v>
      </c>
      <c r="E23" s="161">
        <v>0</v>
      </c>
      <c r="F23" s="161">
        <v>0</v>
      </c>
      <c r="G23" s="161">
        <v>0</v>
      </c>
      <c r="H23" s="161">
        <v>0</v>
      </c>
      <c r="I23" s="161">
        <v>0</v>
      </c>
      <c r="J23" s="161">
        <v>0</v>
      </c>
      <c r="K23" s="161">
        <v>0</v>
      </c>
      <c r="L23" s="161">
        <v>298</v>
      </c>
    </row>
    <row r="24" spans="2:13" s="11" customFormat="1" ht="13.15" x14ac:dyDescent="0.4">
      <c r="B24" s="12" t="s">
        <v>77</v>
      </c>
      <c r="C24" s="161">
        <v>0</v>
      </c>
      <c r="D24" s="161">
        <v>0</v>
      </c>
      <c r="E24" s="161">
        <v>0</v>
      </c>
      <c r="F24" s="161">
        <v>0</v>
      </c>
      <c r="G24" s="161">
        <v>0</v>
      </c>
      <c r="H24" s="161">
        <v>0</v>
      </c>
      <c r="I24" s="161">
        <v>0</v>
      </c>
      <c r="J24" s="161">
        <v>0</v>
      </c>
      <c r="K24" s="161">
        <v>0</v>
      </c>
      <c r="L24" s="161">
        <v>0</v>
      </c>
    </row>
    <row r="25" spans="2:13" s="11" customFormat="1" ht="13.5" thickBot="1" x14ac:dyDescent="0.45">
      <c r="B25" s="12" t="s">
        <v>76</v>
      </c>
      <c r="C25" s="161">
        <v>690</v>
      </c>
      <c r="D25" s="161">
        <v>-1522</v>
      </c>
      <c r="E25" s="161">
        <v>-30</v>
      </c>
      <c r="F25" s="161">
        <v>894</v>
      </c>
      <c r="G25" s="161">
        <v>4114</v>
      </c>
      <c r="H25" s="161">
        <v>201</v>
      </c>
      <c r="I25" s="161">
        <v>-567</v>
      </c>
      <c r="J25" s="161">
        <v>-2389</v>
      </c>
      <c r="K25" s="161">
        <v>6288</v>
      </c>
      <c r="L25" s="161">
        <v>963</v>
      </c>
    </row>
    <row r="26" spans="2:13" s="16" customFormat="1" ht="13.15" x14ac:dyDescent="0.4">
      <c r="B26" s="14" t="s">
        <v>75</v>
      </c>
      <c r="C26" s="15">
        <f t="shared" ref="C26:L26" si="2">SUM(C15:C25)</f>
        <v>-752</v>
      </c>
      <c r="D26" s="15">
        <f t="shared" si="2"/>
        <v>-1261</v>
      </c>
      <c r="E26" s="15">
        <f t="shared" si="2"/>
        <v>-264</v>
      </c>
      <c r="F26" s="15">
        <f t="shared" si="2"/>
        <v>1926</v>
      </c>
      <c r="G26" s="15">
        <f t="shared" si="2"/>
        <v>-1067</v>
      </c>
      <c r="H26" s="15">
        <f t="shared" si="2"/>
        <v>-1732</v>
      </c>
      <c r="I26" s="15">
        <f t="shared" si="2"/>
        <v>-1062</v>
      </c>
      <c r="J26" s="15">
        <f t="shared" si="2"/>
        <v>-4971</v>
      </c>
      <c r="K26" s="15">
        <f t="shared" si="2"/>
        <v>6763</v>
      </c>
      <c r="L26" s="15">
        <f t="shared" si="2"/>
        <v>-3473</v>
      </c>
    </row>
    <row r="27" spans="2:13" s="11" customFormat="1" ht="13.15" x14ac:dyDescent="0.4">
      <c r="B27" s="12"/>
      <c r="C27" s="161"/>
      <c r="D27" s="161"/>
      <c r="E27" s="161"/>
      <c r="F27" s="161"/>
      <c r="G27" s="161"/>
      <c r="H27" s="161"/>
      <c r="I27" s="161"/>
      <c r="J27" s="161"/>
      <c r="K27" s="161"/>
      <c r="L27" s="161"/>
    </row>
    <row r="28" spans="2:13" s="11" customFormat="1" ht="13.15" x14ac:dyDescent="0.4">
      <c r="B28" s="12" t="s">
        <v>74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</row>
    <row r="29" spans="2:13" s="11" customFormat="1" ht="13.15" x14ac:dyDescent="0.4">
      <c r="B29" s="12" t="s">
        <v>73</v>
      </c>
      <c r="C29" s="161">
        <v>0</v>
      </c>
      <c r="D29" s="161">
        <v>0</v>
      </c>
      <c r="E29" s="161">
        <v>0</v>
      </c>
      <c r="F29" s="161">
        <v>0</v>
      </c>
      <c r="G29" s="161">
        <v>0</v>
      </c>
      <c r="H29" s="161">
        <v>0</v>
      </c>
      <c r="I29" s="161">
        <v>0</v>
      </c>
      <c r="J29" s="161">
        <v>0</v>
      </c>
      <c r="K29" s="161">
        <v>0</v>
      </c>
      <c r="L29" s="161">
        <v>0</v>
      </c>
    </row>
    <row r="30" spans="2:13" s="11" customFormat="1" ht="13.15" x14ac:dyDescent="0.4">
      <c r="B30" s="12" t="s">
        <v>72</v>
      </c>
      <c r="C30" s="161">
        <v>0</v>
      </c>
      <c r="D30" s="161">
        <v>0</v>
      </c>
      <c r="E30" s="161">
        <v>-3</v>
      </c>
      <c r="F30" s="161">
        <v>-80</v>
      </c>
      <c r="G30" s="161">
        <v>-86</v>
      </c>
      <c r="H30" s="161">
        <v>-77</v>
      </c>
      <c r="I30" s="161">
        <v>-76</v>
      </c>
      <c r="J30" s="161">
        <v>-98</v>
      </c>
      <c r="K30" s="161">
        <v>-118</v>
      </c>
      <c r="L30" s="161">
        <v>-117</v>
      </c>
    </row>
    <row r="31" spans="2:13" s="11" customFormat="1" ht="13.15" x14ac:dyDescent="0.4">
      <c r="B31" s="12" t="s">
        <v>71</v>
      </c>
      <c r="C31" s="161">
        <v>-3561</v>
      </c>
      <c r="D31" s="161">
        <v>-3896</v>
      </c>
      <c r="E31" s="161">
        <v>-4546</v>
      </c>
      <c r="F31" s="161">
        <v>-5196</v>
      </c>
      <c r="G31" s="161">
        <v>-8811</v>
      </c>
      <c r="H31" s="161">
        <v>-7519</v>
      </c>
      <c r="I31" s="161">
        <v>-8459</v>
      </c>
      <c r="J31" s="161">
        <v>-9398</v>
      </c>
      <c r="K31" s="161">
        <v>-12453</v>
      </c>
      <c r="L31" s="161">
        <v>-10103</v>
      </c>
    </row>
    <row r="32" spans="2:13" s="11" customFormat="1" ht="13.15" x14ac:dyDescent="0.4">
      <c r="B32" s="12" t="s">
        <v>70</v>
      </c>
      <c r="C32" s="161">
        <v>0</v>
      </c>
      <c r="D32" s="161">
        <v>0</v>
      </c>
      <c r="E32" s="161">
        <v>0</v>
      </c>
      <c r="F32" s="161">
        <v>-352</v>
      </c>
      <c r="G32" s="161">
        <v>-383</v>
      </c>
      <c r="H32" s="161">
        <v>-388</v>
      </c>
      <c r="I32" s="161">
        <v>-431</v>
      </c>
      <c r="J32" s="161">
        <v>-394</v>
      </c>
      <c r="K32" s="161">
        <v>-460</v>
      </c>
      <c r="L32" s="161">
        <v>-464</v>
      </c>
      <c r="M32" s="11">
        <f>AVERAGE(F32:L32)</f>
        <v>-410.28571428571428</v>
      </c>
    </row>
    <row r="33" spans="2:12" s="11" customFormat="1" ht="13.5" thickBot="1" x14ac:dyDescent="0.45">
      <c r="B33" s="12" t="s">
        <v>69</v>
      </c>
      <c r="C33" s="161">
        <v>-703</v>
      </c>
      <c r="D33" s="161">
        <v>-755</v>
      </c>
      <c r="E33" s="161">
        <v>-913</v>
      </c>
      <c r="F33" s="161">
        <v>-1048</v>
      </c>
      <c r="G33" s="161">
        <v>0</v>
      </c>
      <c r="H33" s="161">
        <v>0</v>
      </c>
      <c r="I33" s="161">
        <v>0</v>
      </c>
      <c r="J33" s="161">
        <v>0</v>
      </c>
      <c r="K33" s="161">
        <v>0</v>
      </c>
      <c r="L33" s="161">
        <v>0</v>
      </c>
    </row>
    <row r="34" spans="2:12" s="16" customFormat="1" ht="13.15" x14ac:dyDescent="0.4">
      <c r="B34" s="14" t="s">
        <v>68</v>
      </c>
      <c r="C34" s="15">
        <f t="shared" ref="C34:L34" si="3">SUM(C29:C33)</f>
        <v>-4264</v>
      </c>
      <c r="D34" s="15">
        <f t="shared" si="3"/>
        <v>-4651</v>
      </c>
      <c r="E34" s="15">
        <f t="shared" si="3"/>
        <v>-5462</v>
      </c>
      <c r="F34" s="15">
        <f t="shared" si="3"/>
        <v>-6676</v>
      </c>
      <c r="G34" s="15">
        <f t="shared" si="3"/>
        <v>-9280</v>
      </c>
      <c r="H34" s="15">
        <f t="shared" si="3"/>
        <v>-7984</v>
      </c>
      <c r="I34" s="15">
        <f t="shared" si="3"/>
        <v>-8966</v>
      </c>
      <c r="J34" s="15">
        <f t="shared" si="3"/>
        <v>-9890</v>
      </c>
      <c r="K34" s="15">
        <f t="shared" si="3"/>
        <v>-13031</v>
      </c>
      <c r="L34" s="15">
        <f t="shared" si="3"/>
        <v>-10684</v>
      </c>
    </row>
    <row r="35" spans="2:12" s="11" customFormat="1" ht="13.5" thickBot="1" x14ac:dyDescent="0.45">
      <c r="B35" s="12"/>
      <c r="C35" s="161"/>
      <c r="D35" s="161"/>
      <c r="E35" s="161"/>
      <c r="F35" s="161"/>
      <c r="G35" s="161"/>
      <c r="H35" s="161"/>
      <c r="I35" s="161"/>
      <c r="J35" s="161"/>
      <c r="K35" s="161"/>
      <c r="L35" s="161"/>
    </row>
    <row r="36" spans="2:12" s="16" customFormat="1" ht="13.5" thickBot="1" x14ac:dyDescent="0.45">
      <c r="B36" s="17" t="s">
        <v>20</v>
      </c>
      <c r="C36" s="18">
        <f t="shared" ref="C36:L36" si="4">SUM(C34,C26,C12)</f>
        <v>-63</v>
      </c>
      <c r="D36" s="18">
        <f t="shared" si="4"/>
        <v>1</v>
      </c>
      <c r="E36" s="18">
        <f t="shared" si="4"/>
        <v>2</v>
      </c>
      <c r="F36" s="18">
        <f t="shared" si="4"/>
        <v>2555</v>
      </c>
      <c r="G36" s="18">
        <f t="shared" si="4"/>
        <v>-1390</v>
      </c>
      <c r="H36" s="18">
        <f t="shared" si="4"/>
        <v>-752</v>
      </c>
      <c r="I36" s="18">
        <f t="shared" si="4"/>
        <v>-402</v>
      </c>
      <c r="J36" s="18">
        <f t="shared" si="4"/>
        <v>23</v>
      </c>
      <c r="K36" s="18">
        <f t="shared" si="4"/>
        <v>5338</v>
      </c>
      <c r="L36" s="164">
        <f t="shared" si="4"/>
        <v>-3661</v>
      </c>
    </row>
    <row r="37" spans="2:12" s="11" customFormat="1" ht="13.15" x14ac:dyDescent="0.4">
      <c r="B37" s="19"/>
      <c r="C37" s="162"/>
      <c r="D37" s="162"/>
      <c r="E37" s="162"/>
      <c r="F37" s="162"/>
      <c r="G37" s="162"/>
      <c r="H37" s="162"/>
      <c r="I37" s="162"/>
      <c r="J37" s="162"/>
      <c r="K37" s="162"/>
      <c r="L37" s="162"/>
    </row>
    <row r="38" spans="2:12" s="11" customFormat="1" ht="13.15" x14ac:dyDescent="0.4">
      <c r="B38" s="19"/>
      <c r="C38" s="162"/>
      <c r="D38" s="162"/>
      <c r="E38" s="162"/>
      <c r="F38" s="162"/>
      <c r="G38" s="162"/>
      <c r="H38" s="162"/>
      <c r="I38" s="162"/>
      <c r="J38" s="162"/>
      <c r="K38" s="162"/>
      <c r="L38" s="162"/>
    </row>
    <row r="39" spans="2:12" s="11" customFormat="1" ht="13.5" x14ac:dyDescent="0.4">
      <c r="B39" s="20" t="s">
        <v>57</v>
      </c>
      <c r="C39" s="163">
        <v>6006</v>
      </c>
      <c r="D39" s="163">
        <v>7013</v>
      </c>
      <c r="E39" s="163">
        <v>7070</v>
      </c>
      <c r="F39" s="163">
        <v>7399</v>
      </c>
      <c r="G39" s="163">
        <v>8627</v>
      </c>
      <c r="H39" s="163">
        <v>8864</v>
      </c>
      <c r="I39" s="163">
        <v>9391</v>
      </c>
      <c r="J39" s="163">
        <v>10148</v>
      </c>
      <c r="K39" s="163">
        <v>10998</v>
      </c>
      <c r="L39" s="163">
        <v>12913</v>
      </c>
    </row>
    <row r="40" spans="2:12" s="11" customFormat="1" ht="13.5" x14ac:dyDescent="0.4">
      <c r="B40" s="20" t="s">
        <v>58</v>
      </c>
      <c r="C40" s="163">
        <v>70</v>
      </c>
      <c r="D40" s="163">
        <v>55</v>
      </c>
      <c r="E40" s="163">
        <v>39</v>
      </c>
      <c r="F40" s="163">
        <v>154</v>
      </c>
      <c r="G40" s="163">
        <v>93</v>
      </c>
      <c r="H40" s="163">
        <v>113</v>
      </c>
      <c r="I40" s="163">
        <v>86</v>
      </c>
      <c r="J40" s="163">
        <v>89</v>
      </c>
      <c r="K40" s="163">
        <v>0</v>
      </c>
      <c r="L40" s="163">
        <v>0</v>
      </c>
    </row>
  </sheetData>
  <pageMargins left="0.7" right="0.7" top="0.75" bottom="0.75" header="0.3" footer="0.3"/>
  <ignoredErrors>
    <ignoredError sqref="C9:L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 Sheet</vt:lpstr>
      <vt:lpstr>Historical Financial Statement</vt:lpstr>
      <vt:lpstr>Calculation</vt:lpstr>
      <vt:lpstr>Ratio Analysis</vt:lpstr>
      <vt:lpstr>DCF Model</vt:lpstr>
      <vt:lpstr>BETA Calculation</vt:lpstr>
      <vt:lpstr>COMP Analysis</vt:lpstr>
      <vt:lpstr>DuPont Model</vt:lpstr>
      <vt:lpstr>Common Size Statement</vt:lpstr>
      <vt:lpstr>Manual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Arpit</cp:lastModifiedBy>
  <cp:lastPrinted>2012-12-06T18:14:13Z</cp:lastPrinted>
  <dcterms:created xsi:type="dcterms:W3CDTF">2012-08-17T09:55:37Z</dcterms:created>
  <dcterms:modified xsi:type="dcterms:W3CDTF">2026-10-16T15:24:34Z</dcterms:modified>
</cp:coreProperties>
</file>